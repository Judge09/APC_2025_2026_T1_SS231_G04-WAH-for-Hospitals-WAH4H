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x Tracker" sheetId="1" state="visible" r:id="rId3"/>
    <sheet name="Summary" sheetId="2" state="visible" r:id="rId4"/>
    <sheet name="Changelo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<sst xmlns="http://schemas.openxmlformats.org/spreadsheetml/2006/main" count="965" uniqueCount="397">
  <si>
    <t xml:space="preserve">WAH4H — Post-UAT Fix Tracker  |  v2.0 Complete</t>
  </si>
  <si>
    <t xml:space="preserve">Module</t>
  </si>
  <si>
    <t xml:space="preserve">TC ID</t>
  </si>
  <si>
    <t xml:space="preserve">Priority</t>
  </si>
  <si>
    <t xml:space="preserve">Area / Sub-Issue</t>
  </si>
  <si>
    <t xml:space="preserve">Issue Description</t>
  </si>
  <si>
    <t xml:space="preserve">Status</t>
  </si>
  <si>
    <t xml:space="preserve">Changed By</t>
  </si>
  <si>
    <t xml:space="preserve">Date Changed</t>
  </si>
  <si>
    <t xml:space="preserve">Comments / Feedback</t>
  </si>
  <si>
    <t xml:space="preserve">Authentication</t>
  </si>
  <si>
    <t xml:space="preserve">TC-AUTH-002</t>
  </si>
  <si>
    <t xml:space="preserve">High</t>
  </si>
  <si>
    <t xml:space="preserve">Registration — OTP Disabled</t>
  </si>
  <si>
    <t xml:space="preserve">OTP is disabled during testing so registration completes without OTP verification; production behavior unconfirmed</t>
  </si>
  <si>
    <t xml:space="preserve">Not Started</t>
  </si>
  <si>
    <t xml:space="preserve">Registration — No Email Confirmation</t>
  </si>
  <si>
    <t xml:space="preserve">No confirmation email sent on successful registration</t>
  </si>
  <si>
    <t xml:space="preserve">Registration — Password Policy</t>
  </si>
  <si>
    <t xml:space="preserve">Password position/uppercase requirement is missing or not enforced</t>
  </si>
  <si>
    <t xml:space="preserve">TC-AUTH-003</t>
  </si>
  <si>
    <t xml:space="preserve">Duplicate Email Feedback</t>
  </si>
  <si>
    <t xml:space="preserve">No real-time inline error when entering an already-registered email; error only fires on submit</t>
  </si>
  <si>
    <t xml:space="preserve">Registration Rate Limit</t>
  </si>
  <si>
    <t xml:space="preserve">False 'Too many attempts' error fires when navigating back and forth between registration pages</t>
  </si>
  <si>
    <t xml:space="preserve">TC-AUTH-005</t>
  </si>
  <si>
    <t xml:space="preserve">Critical</t>
  </si>
  <si>
    <t xml:space="preserve">OTP — Not Delivered</t>
  </si>
  <si>
    <t xml:space="preserve">OTP email not received by testers; no fallback or resend option shown</t>
  </si>
  <si>
    <t xml:space="preserve">OTP — No Resend Button</t>
  </si>
  <si>
    <t xml:space="preserve">After OTP failure there is no Resend OTP button on the verification screen</t>
  </si>
  <si>
    <t xml:space="preserve">OTP — System Failure on Submit</t>
  </si>
  <si>
    <t xml:space="preserve">System failure reported on OTP submission; endpoint returns no proper response</t>
  </si>
  <si>
    <t xml:space="preserve">Post-Reset Sidebar Missing</t>
  </si>
  <si>
    <t xml:space="preserve">After password reset, user lands on dashboard with no visible sidebar navigation tabs</t>
  </si>
  <si>
    <t xml:space="preserve">TC-AUTH-007</t>
  </si>
  <si>
    <t xml:space="preserve">Session Timeout — Move Mouse Not Working</t>
  </si>
  <si>
    <t xml:space="preserve">'Move your mouse' stay-alive interaction does not reset the idle timer</t>
  </si>
  <si>
    <t xml:space="preserve">Session Timeout — Threshold Too Short</t>
  </si>
  <si>
    <t xml:space="preserve">Idle timeout fires too quickly; testers flag it as disruptive to normal clinical workflows</t>
  </si>
  <si>
    <t xml:space="preserve">Medium</t>
  </si>
  <si>
    <t xml:space="preserve">Wrong Legal Reference in Warning</t>
  </si>
  <si>
    <t xml:space="preserve">Warning message references HIPAA — must be changed to RA 10173; HIPAA is US law, not applicable in PH</t>
  </si>
  <si>
    <t xml:space="preserve">TC-AUTH-008</t>
  </si>
  <si>
    <t xml:space="preserve">Sidebar RBAC Mismatch</t>
  </si>
  <si>
    <t xml:space="preserve">Non-admin roles can see modules they should not have access to; sidebar visibility rules not matching RBAC matrix</t>
  </si>
  <si>
    <t xml:space="preserve">Patients</t>
  </si>
  <si>
    <t xml:space="preserve">TC-PAT-001</t>
  </si>
  <si>
    <t xml:space="preserve">Mandatory Fields Not Enforced</t>
  </si>
  <si>
    <t xml:space="preserve">Some fields that must be required are not enforced as mandatory on patient registration form</t>
  </si>
  <si>
    <t xml:space="preserve">TC-PAT-002</t>
  </si>
  <si>
    <t xml:space="preserve">No Per-Field Validation Messages</t>
  </si>
  <si>
    <t xml:space="preserve">Validation errors are generic; system does not specify which field failed or why</t>
  </si>
  <si>
    <t xml:space="preserve">No Visual Field Error Indicator</t>
  </si>
  <si>
    <t xml:space="preserve">No highlighting or focus on the field that caused the error; user cannot see which field is the problem</t>
  </si>
  <si>
    <t xml:space="preserve">PWD Status Unverified</t>
  </si>
  <si>
    <t xml:space="preserve">PWD (Person with Disability) status can be checked without any verification or documentation requirement</t>
  </si>
  <si>
    <t xml:space="preserve">Country Field Re-triggers Processing</t>
  </si>
  <si>
    <t xml:space="preserve">After filling all fields, changing the Country field forces the form to re-process unnecessarily</t>
  </si>
  <si>
    <t xml:space="preserve">Suffix Field — No Enum</t>
  </si>
  <si>
    <t xml:space="preserve">Suffix is free-text; should use a validated enum (Jr., Sr., II, III, etc.)</t>
  </si>
  <si>
    <t xml:space="preserve">Premature Validation on Pro Quals</t>
  </si>
  <si>
    <t xml:space="preserve">Error indicators appear on Professional Qualifications fields before user has typed anything</t>
  </si>
  <si>
    <t xml:space="preserve">TC-PAT-003</t>
  </si>
  <si>
    <t xml:space="preserve">Search by Name Not Working</t>
  </si>
  <si>
    <t xml:space="preserve">Searching by patient name returns no results; search function non-functional</t>
  </si>
  <si>
    <t xml:space="preserve">Patient Record Not Loading on Click</t>
  </si>
  <si>
    <t xml:space="preserve">Clicking a search result does not open the patient record inline</t>
  </si>
  <si>
    <t xml:space="preserve">Insurance ID False-Positive Duplicate Error</t>
  </si>
  <si>
    <t xml:space="preserve">'Error: insurance ID is already registered' fires incorrectly on new patient registrations; likely stale form state</t>
  </si>
  <si>
    <t xml:space="preserve">Suffix Not Accounted for in Search</t>
  </si>
  <si>
    <t xml:space="preserve">Search does not handle suffix variations (e.g., 'Juan dela Cruz Jr.' vs 'Juan dela Cruz')</t>
  </si>
  <si>
    <t xml:space="preserve">TC-PAT-004</t>
  </si>
  <si>
    <t xml:space="preserve">Fields Drop Out on Edit Click</t>
  </si>
  <si>
    <t xml:space="preserve">Some fields disappear from the form when the Edit button is clicked</t>
  </si>
  <si>
    <t xml:space="preserve">Data Lost on Section Navigation</t>
  </si>
  <si>
    <t xml:space="preserve">Data entered in one form section is lost when navigating to another section before saving</t>
  </si>
  <si>
    <t xml:space="preserve">Indigenous Status Checkbox — Fields Not Clearing</t>
  </si>
  <si>
    <t xml:space="preserve">When Indigenous Status is unchecked, related dependent fields do not clear</t>
  </si>
  <si>
    <t xml:space="preserve">Address Fields Missing in Edit Mode</t>
  </si>
  <si>
    <t xml:space="preserve">Address Information fields specifically go missing when switching to Edit mode</t>
  </si>
  <si>
    <t xml:space="preserve">TC-PAT-005</t>
  </si>
  <si>
    <t xml:space="preserve">Future/Invalid Dates Accepted on Conditions</t>
  </si>
  <si>
    <t xml:space="preserve">Onset date field on conditions accepts future dates and implausibly backdated dates without validation</t>
  </si>
  <si>
    <t xml:space="preserve">Condition Identifier Editable</t>
  </si>
  <si>
    <t xml:space="preserve">FHIR Identifier field on Condition is user-editable; must be system-generated and read-only per FHIR R4</t>
  </si>
  <si>
    <t xml:space="preserve">TC-PAT-006</t>
  </si>
  <si>
    <t xml:space="preserve">Allergy Data Not Persisted</t>
  </si>
  <si>
    <t xml:space="preserve">Allergy record is created but data is not saved to the database; disappears on page reload</t>
  </si>
  <si>
    <t xml:space="preserve">Allergy Save — No Feedback on Failure</t>
  </si>
  <si>
    <t xml:space="preserve">No error message shown when allergy save fails; user sees apparent success but data is lost</t>
  </si>
  <si>
    <t xml:space="preserve">No Criticality Visual Indicator</t>
  </si>
  <si>
    <t xml:space="preserve">No visual flag or highlight shown when an allergy has a high-criticality rating; dangerous allergies must be prominently marked</t>
  </si>
  <si>
    <t xml:space="preserve">Allergy FHIR Identifier Editable</t>
  </si>
  <si>
    <t xml:space="preserve">FHIR Identifier field on Allergy record is editable; must be system-generated and read-only</t>
  </si>
  <si>
    <t xml:space="preserve">Date Picker Does Not Close Properly</t>
  </si>
  <si>
    <t xml:space="preserve">Date picker on allergy form does not close after selection</t>
  </si>
  <si>
    <t xml:space="preserve">TC-PAT-007</t>
  </si>
  <si>
    <t xml:space="preserve">Allergy Fetch — HTTP 400</t>
  </si>
  <si>
    <t xml:space="preserve">HTTP 400 error on fetching allergy records; allergy list fails to load</t>
  </si>
  <si>
    <t xml:space="preserve">Previously Saved Allergy Not Visible on Re-open</t>
  </si>
  <si>
    <t xml:space="preserve">Saved allergy records do not appear when the Allergies tab is reopened</t>
  </si>
  <si>
    <t xml:space="preserve">Edit Allergy — Old Data Not Reflected</t>
  </si>
  <si>
    <t xml:space="preserve">When editing a previously saved allergy, the form does not pre-fill with the existing data</t>
  </si>
  <si>
    <t xml:space="preserve">TC-PAT-008</t>
  </si>
  <si>
    <t xml:space="preserve">Immunization Data Not Persisted</t>
  </si>
  <si>
    <t xml:space="preserve">Immunization record created but data not saved to database; HTTP 400 on save</t>
  </si>
  <si>
    <t xml:space="preserve">Missing Required Fields on Immunization Form</t>
  </si>
  <si>
    <t xml:space="preserve">Required fields for immunization creation are absent from the form</t>
  </si>
  <si>
    <t xml:space="preserve">Immunization Status Defaults to Completed</t>
  </si>
  <si>
    <t xml:space="preserve">Status defaults to 'Completed'; should default to 'Scheduled' or be user-selectable</t>
  </si>
  <si>
    <t xml:space="preserve">No Field-Level Error Focus</t>
  </si>
  <si>
    <t xml:space="preserve">On validation failure, page does not scroll to or highlight the problematic field</t>
  </si>
  <si>
    <t xml:space="preserve">Immunization FHIR Identifier Editable</t>
  </si>
  <si>
    <t xml:space="preserve">FHIR Identifier field on Immunization record is editable; must be system-generated read-only</t>
  </si>
  <si>
    <t xml:space="preserve">TC-PAT-009</t>
  </si>
  <si>
    <t xml:space="preserve">WAH4P Integration — Untestable (No Test Data)</t>
  </si>
  <si>
    <t xml:space="preserve">TC-PAT-009 (push/pull patient to external provider) could not be tested because WAH4P/WAH4PC clinic test data was never provided to testers; blocked by missing prerequisite, not a code issue</t>
  </si>
  <si>
    <t xml:space="preserve">Admission</t>
  </si>
  <si>
    <t xml:space="preserve">TC-ADM-001</t>
  </si>
  <si>
    <t xml:space="preserve">No Inline New Patient Shortcut</t>
  </si>
  <si>
    <t xml:space="preserve">No 'Register New Patient' button within the encounter creation flow; user must exit and register separately</t>
  </si>
  <si>
    <t xml:space="preserve">Future Admission Date Not Blocked</t>
  </si>
  <si>
    <t xml:space="preserve">Admission date field accepts future dates; must be restricted to today or earlier</t>
  </si>
  <si>
    <t xml:space="preserve">Attending Physician Dropdown Format</t>
  </si>
  <si>
    <t xml:space="preserve">Dropdown shows full concatenated string (e.g., 'Aries Canlas Physician'); should show 'Name, Specialty' only</t>
  </si>
  <si>
    <t xml:space="preserve">Diagnosis Has Billing and Discharge Options on New Admission</t>
  </si>
  <si>
    <t xml:space="preserve">Billing and discharge options appear on new admission diagnosis field; inappropriate at this stage</t>
  </si>
  <si>
    <t xml:space="preserve">Diet Preferences — No Mutual Exclusivity</t>
  </si>
  <si>
    <t xml:space="preserve">All diet preference checkboxes can be selected simultaneously; needs logical constraints</t>
  </si>
  <si>
    <t xml:space="preserve">No Printable Admission Summary</t>
  </si>
  <si>
    <t xml:space="preserve">No printable summary at end of admission form showing encoder name, timestamp, and entered data</t>
  </si>
  <si>
    <t xml:space="preserve">TC-ADM-004</t>
  </si>
  <si>
    <t xml:space="preserve">End Encounter Not Discoverable</t>
  </si>
  <si>
    <t xml:space="preserve">Multiple testers could not find the 'End Encounter' action in the UI; must be surfaced clearly</t>
  </si>
  <si>
    <t xml:space="preserve">Terminology Inconsistency — Admission vs Encounter</t>
  </si>
  <si>
    <t xml:space="preserve">UI uses 'Admission'; UAT docs use 'Encounter'; must be standardized across UI, docs, and labels</t>
  </si>
  <si>
    <t xml:space="preserve">Record-Level RBAC Not Enforced</t>
  </si>
  <si>
    <t xml:space="preserve">Doctors can view patient records not assigned to them; RBAC enforced at sidebar level only, not at data/query level</t>
  </si>
  <si>
    <t xml:space="preserve">TC-ADM-003</t>
  </si>
  <si>
    <t xml:space="preserve">No Restriction on Backdated Record Date</t>
  </si>
  <si>
    <t xml:space="preserve">Record date can be set 24+ years in the past; no reasonable minimum date restriction</t>
  </si>
  <si>
    <t xml:space="preserve">Appointments</t>
  </si>
  <si>
    <t xml:space="preserve">TC-APT-001</t>
  </si>
  <si>
    <t xml:space="preserve">Full Module Untested — Create Appointment</t>
  </si>
  <si>
    <t xml:space="preserve">TC-APT-001 has no tester responses recorded; must be executed in next UAT cycle</t>
  </si>
  <si>
    <t xml:space="preserve">TC-APT-002</t>
  </si>
  <si>
    <t xml:space="preserve">Full Module Untested — Cancel Appointment</t>
  </si>
  <si>
    <t xml:space="preserve">TC-APT-002 has no tester responses recorded; must be executed in next UAT cycle</t>
  </si>
  <si>
    <t xml:space="preserve">TC-APT-003</t>
  </si>
  <si>
    <t xml:space="preserve">Full Module Untested — Mark Patient Arrived</t>
  </si>
  <si>
    <t xml:space="preserve">TC-APT-003 has no tester responses recorded; must be executed in next UAT cycle</t>
  </si>
  <si>
    <t xml:space="preserve">Arrived Status — No Date Gate</t>
  </si>
  <si>
    <t xml:space="preserve">Patient can be marked as Arrived regardless of whether the appointment date matches today</t>
  </si>
  <si>
    <t xml:space="preserve">TC-APT-004</t>
  </si>
  <si>
    <t xml:space="preserve">Full Module Untested — Practitioner Schedule</t>
  </si>
  <si>
    <t xml:space="preserve">TC-APT-004 has no tester responses recorded; must be executed in next UAT cycle</t>
  </si>
  <si>
    <t xml:space="preserve">Schedule Creation Should Be Admin/HR Function</t>
  </si>
  <si>
    <t xml:space="preserve">Each doctor should not self-manage their own schedule; should be managed by admin or HR role</t>
  </si>
  <si>
    <t xml:space="preserve">Service Type Field Unnecessary</t>
  </si>
  <si>
    <t xml:space="preserve">Service Type field on appointment creation is flagged as unnecessary; should be removed or made optional</t>
  </si>
  <si>
    <t xml:space="preserve">Raw API Errors Exposed to Users</t>
  </si>
  <si>
    <t xml:space="preserve">Raw JSON error (e.g., {"identifier": ["This field is required."]}) is shown directly to users; must be caught and translated</t>
  </si>
  <si>
    <t xml:space="preserve">Monitoring</t>
  </si>
  <si>
    <t xml:space="preserve">TC-MON-001</t>
  </si>
  <si>
    <t xml:space="preserve">Date and Time Field Missing from Vital Signs Form</t>
  </si>
  <si>
    <t xml:space="preserve">Date/time field is absent from the vital signs entry form; observations cannot be timestamped</t>
  </si>
  <si>
    <t xml:space="preserve">Observation Type, Value, and Units Fields Missing</t>
  </si>
  <si>
    <t xml:space="preserve">Core fields for recording a vital sign observation are not present on the form</t>
  </si>
  <si>
    <t xml:space="preserve">No Deduplication Check</t>
  </si>
  <si>
    <t xml:space="preserve">Identical vital sign entries can be submitted multiple times with no warning or duplicate detection</t>
  </si>
  <si>
    <t xml:space="preserve">O2 Saturation Accepts Out-of-Range Values</t>
  </si>
  <si>
    <t xml:space="preserve">O2 saturation field accepts values outside 0–100%; must be restricted to physiologically valid range</t>
  </si>
  <si>
    <t xml:space="preserve">Observation Terminology Unclear</t>
  </si>
  <si>
    <t xml:space="preserve">'Observation' label confuses testers expecting 'Vital Signs'; terminology should align with clinical expectation</t>
  </si>
  <si>
    <t xml:space="preserve">TC-MON-003</t>
  </si>
  <si>
    <t xml:space="preserve">No Input Restrictions on Vital Sign Fields</t>
  </si>
  <si>
    <t xml:space="preserve">Vital sign fields accept any numeric value including negatives and physiologically impossible numbers</t>
  </si>
  <si>
    <t xml:space="preserve">Negative Values Accepted</t>
  </si>
  <si>
    <t xml:space="preserve">Negative values can be entered for all vital sign fields; must be blocked</t>
  </si>
  <si>
    <t xml:space="preserve">Abnormal Observation State Not Displayed</t>
  </si>
  <si>
    <t xml:space="preserve">After saving an out-of-range observation, the flagged/abnormal state is not visually shown in the timeline</t>
  </si>
  <si>
    <t xml:space="preserve">Observation Filter Missing or Incomplete</t>
  </si>
  <si>
    <t xml:space="preserve">Filtering observations by type returns unclear or incomplete results</t>
  </si>
  <si>
    <t xml:space="preserve">TC-MON-005</t>
  </si>
  <si>
    <t xml:space="preserve">Monitoring to Billing Charge Item Link Not Implemented</t>
  </si>
  <si>
    <t xml:space="preserve">No way to create a charge item from within Monitoring; linkage to billing is entirely missing</t>
  </si>
  <si>
    <t xml:space="preserve">Laboratory</t>
  </si>
  <si>
    <t xml:space="preserve">TC-LAB-001</t>
  </si>
  <si>
    <t xml:space="preserve">Page Crashes on Lab Request Submit</t>
  </si>
  <si>
    <t xml:space="preserve">ERROR UPON LOADING PAGE on submit; token is blacklisted error — JWT issue causing page crash</t>
  </si>
  <si>
    <t xml:space="preserve">Lab Request List Fails to Load</t>
  </si>
  <si>
    <t xml:space="preserve">Lab request list page fails to load on open; likely same JWT/token issue</t>
  </si>
  <si>
    <t xml:space="preserve">Lab Request Placed in Wrong Tab</t>
  </si>
  <si>
    <t xml:space="preserve">Lab request appears inside the Monitoring tab, not Laboratory tab; incorrect module placement causing tester confusion</t>
  </si>
  <si>
    <t xml:space="preserve">Lab Request Lacks Verification Step</t>
  </si>
  <si>
    <t xml:space="preserve">No confirmation or verification step before lab request is submitted</t>
  </si>
  <si>
    <t xml:space="preserve">TC-LAB-003</t>
  </si>
  <si>
    <t xml:space="preserve">Specimen Recording Feature Not Found</t>
  </si>
  <si>
    <t xml:space="preserve">Specimen recording function not accessible; multiple testers could not locate it</t>
  </si>
  <si>
    <t xml:space="preserve">Result Entry Accepts Blank Submissions</t>
  </si>
  <si>
    <t xml:space="preserve">Lab result entry form submits successfully with all fields blank; no required field validation</t>
  </si>
  <si>
    <t xml:space="preserve">No Input Restrictions on Result Values</t>
  </si>
  <si>
    <t xml:space="preserve">No restrictions, limitations, or range validations on result value fields</t>
  </si>
  <si>
    <t xml:space="preserve">Lab Result Status Page Fails to Load</t>
  </si>
  <si>
    <t xml:space="preserve">Status page for an in-progress lab report fails to load</t>
  </si>
  <si>
    <t xml:space="preserve">TC-LAB-005</t>
  </si>
  <si>
    <t xml:space="preserve">Result Release Feature Missing</t>
  </si>
  <si>
    <t xml:space="preserve">Release results to attending physician function does not exist; entirely unimplemented</t>
  </si>
  <si>
    <t xml:space="preserve">Pharmacy</t>
  </si>
  <si>
    <t xml:space="preserve">TC-PHR-001</t>
  </si>
  <si>
    <t xml:space="preserve">Dispense Not Accessible from Pharmacy Tab</t>
  </si>
  <si>
    <t xml:space="preserve">Dispense medication function is not navigable from within the Pharmacy tab; found in a different location</t>
  </si>
  <si>
    <t xml:space="preserve">No Allergy Warning on Prescription</t>
  </si>
  <si>
    <t xml:space="preserve">When prescribing, no warning is shown if the medication conflicts with a patient's recorded allergy</t>
  </si>
  <si>
    <t xml:space="preserve">No Dose/Frequency Restrictions</t>
  </si>
  <si>
    <t xml:space="preserve">Dose and frequency fields have no input limits or validation; any value accepted</t>
  </si>
  <si>
    <t xml:space="preserve">TC-PHR-003</t>
  </si>
  <si>
    <t xml:space="preserve">Stock Status After Dispense Unclear</t>
  </si>
  <si>
    <t xml:space="preserve">After a prescription is dispensed, stock status (remaining, reserved) is not clearly shown</t>
  </si>
  <si>
    <t xml:space="preserve">Prescription-to-Dispense Flow Failing</t>
  </si>
  <si>
    <t xml:space="preserve">Stock deduction fails during the prescribe-to-dispense flow; prescription cannot be completed</t>
  </si>
  <si>
    <t xml:space="preserve">No Input Restrictions on Dispense Fields</t>
  </si>
  <si>
    <t xml:space="preserve">Required fields on dispense form are unclear or absent; missing validation</t>
  </si>
  <si>
    <t xml:space="preserve">STAT Priority Not Visually Distinct Enough</t>
  </si>
  <si>
    <t xml:space="preserve">STAT prescriptions appear at top of queue but need stronger visual differentiation from routine orders</t>
  </si>
  <si>
    <t xml:space="preserve">Discharge</t>
  </si>
  <si>
    <t xml:space="preserve">TC-DIS-001</t>
  </si>
  <si>
    <t xml:space="preserve">Encounter and Conditions Not Listed in Discharge Form</t>
  </si>
  <si>
    <t xml:space="preserve">When a patient is selected in discharge, their encounter and active conditions are not populated in the form</t>
  </si>
  <si>
    <t xml:space="preserve">Datetime Field Cannot Be Set</t>
  </si>
  <si>
    <t xml:space="preserve">Discharge datetime field cannot be interacted with or set by the user</t>
  </si>
  <si>
    <t xml:space="preserve">ICD-10 Dropdown Missing Free-Text Fallback</t>
  </si>
  <si>
    <t xml:space="preserve">ICD-10 discharge diagnosis dropdown does not cover all codes; no free-text fallback for codes not in list</t>
  </si>
  <si>
    <t xml:space="preserve">No Pre-Save Review Screen</t>
  </si>
  <si>
    <t xml:space="preserve">No comprehensive summary shown before final submission; testers flagged this as a data integrity risk</t>
  </si>
  <si>
    <t xml:space="preserve">Remove Button Is Ambiguous</t>
  </si>
  <si>
    <t xml:space="preserve">Generic 'Remove' button on discharge queue is medically ambiguous; replace with: Discharge, Transfer, Cancel Admission, Archive</t>
  </si>
  <si>
    <t xml:space="preserve">Discharge Documents Not Immediately Printable</t>
  </si>
  <si>
    <t xml:space="preserve">Documents must be immediately printable on finalization; currently requires manual file search and download</t>
  </si>
  <si>
    <t xml:space="preserve">Redundant Data in Review and Update Popup</t>
  </si>
  <si>
    <t xml:space="preserve">'Review and Update' popup shows same content already visible in the right panel; UX is redundant and confusing</t>
  </si>
  <si>
    <t xml:space="preserve">TC-DIS-002</t>
  </si>
  <si>
    <t xml:space="preserve">No Draft State for Discharge</t>
  </si>
  <si>
    <t xml:space="preserve">Discharge form has no draft save; TC-DIS-003 and TC-DIS-004 are directly blocked by this</t>
  </si>
  <si>
    <t xml:space="preserve">TC-DIS-003</t>
  </si>
  <si>
    <t xml:space="preserve">Finalize Discharge Blocked by No Draft</t>
  </si>
  <si>
    <t xml:space="preserve">TC-DIS-003 cannot be tested until TC-DIS-002 draft save is implemented; status change to Finalized not working</t>
  </si>
  <si>
    <t xml:space="preserve">TC-DIS-004</t>
  </si>
  <si>
    <t xml:space="preserve">Discharge Summary View Does Not Exist</t>
  </si>
  <si>
    <t xml:space="preserve">View discharge summary feature is entirely missing; confirmed absent on localhost</t>
  </si>
  <si>
    <t xml:space="preserve">Billing</t>
  </si>
  <si>
    <t xml:space="preserve">TC-BIL-001</t>
  </si>
  <si>
    <t xml:space="preserve">Patient and Encounter Not Preloaded from Context</t>
  </si>
  <si>
    <t xml:space="preserve">Navigating to Billing from an encounter does not carry over patient/encounter context; requires manual re-selection</t>
  </si>
  <si>
    <t xml:space="preserve">Invoice Date Not Auto-Filled</t>
  </si>
  <si>
    <t xml:space="preserve">Invoice creation date is not auto-populated with the current date; must be manually entered</t>
  </si>
  <si>
    <t xml:space="preserve">Encounters Not Listed When Selecting Patient</t>
  </si>
  <si>
    <t xml:space="preserve">When selecting a patient in billing, their encounters are not listed for selection</t>
  </si>
  <si>
    <t xml:space="preserve">Charge Item Rates Not Pre-Configured</t>
  </si>
  <si>
    <t xml:space="preserve">Item rates should be pre-set by an authorized role (Financial Officer) and auto-loaded; currently all manual</t>
  </si>
  <si>
    <t xml:space="preserve">TC-BIL-002</t>
  </si>
  <si>
    <t xml:space="preserve">Invoice Creation Skips to Process Payment</t>
  </si>
  <si>
    <t xml:space="preserve">Saving invoice jumps directly to Process Payment step; invoice draft step is bypassed</t>
  </si>
  <si>
    <t xml:space="preserve">No Draft Save for Invoice</t>
  </si>
  <si>
    <t xml:space="preserve">Invoice cannot be saved as draft; must be set as Issued immediately with no intermediate state</t>
  </si>
  <si>
    <t xml:space="preserve">Missing Fields in Invoice Form</t>
  </si>
  <si>
    <t xml:space="preserve">Some required fields are missing from the invoice creation form</t>
  </si>
  <si>
    <t xml:space="preserve">TC-BIL-003</t>
  </si>
  <si>
    <t xml:space="preserve">Record Payment Module Entirely Missing</t>
  </si>
  <si>
    <t xml:space="preserve">No payment recording function or module exists anywhere in the system</t>
  </si>
  <si>
    <t xml:space="preserve">System Reports Payment Success Falsely</t>
  </si>
  <si>
    <t xml:space="preserve">System states payment was successful even though no payment module exists; misleading confirmation</t>
  </si>
  <si>
    <t xml:space="preserve">Redirection Logic Error After Invoice</t>
  </si>
  <si>
    <t xml:space="preserve">After invoice flow, system redirects incorrectly</t>
  </si>
  <si>
    <t xml:space="preserve">TC-BIL-004</t>
  </si>
  <si>
    <t xml:space="preserve">Payment Reconciliation Module Entirely Missing</t>
  </si>
  <si>
    <t xml:space="preserve">Reconciliation section does not exist; cannot link payments to claim line items or flag discrepancies</t>
  </si>
  <si>
    <t xml:space="preserve">eClaims</t>
  </si>
  <si>
    <t xml:space="preserve">TC-PHL-001</t>
  </si>
  <si>
    <t xml:space="preserve">PhilHealth ID Cannot Be Decoded</t>
  </si>
  <si>
    <t xml:space="preserve">System cannot read encoded PhilHealth IDs from patient records; root cause is encoding/decoding mismatch; blocks all eClaims</t>
  </si>
  <si>
    <t xml:space="preserve">Raw API Error Exposed on insurer_id Field</t>
  </si>
  <si>
    <t xml:space="preserve">Raw JSON error for insurer_id field is shown directly to the user with no friendly message</t>
  </si>
  <si>
    <t xml:space="preserve">No Restrictions on eClaims Data Entry Fields</t>
  </si>
  <si>
    <t xml:space="preserve">eClaims form fields have no validation or restrictions; any value accepted</t>
  </si>
  <si>
    <t xml:space="preserve">TC-PHL-003</t>
  </si>
  <si>
    <t xml:space="preserve">PhilHealth Integration Endpoint Not Functional</t>
  </si>
  <si>
    <t xml:space="preserve">PhilHealth integration endpoint is non-functional; no data exchange possible</t>
  </si>
  <si>
    <t xml:space="preserve">No Auto-Trigger for Eligible Admissions</t>
  </si>
  <si>
    <t xml:space="preserve">Suggestion: when a PhilHealth-eligible patient is admitted and procedure is covered, system should prompt to prepare an eClaims document</t>
  </si>
  <si>
    <t xml:space="preserve">Dashboard</t>
  </si>
  <si>
    <t xml:space="preserve">TC-DASH-001</t>
  </si>
  <si>
    <t xml:space="preserve">Low</t>
  </si>
  <si>
    <t xml:space="preserve">KPI Data May Not Reflect Accurate State</t>
  </si>
  <si>
    <t xml:space="preserve">Dashboard KPI widgets show no data for roles with no linked records; verify data feeds once other modules are fixed</t>
  </si>
  <si>
    <t xml:space="preserve">TC-DASH-002</t>
  </si>
  <si>
    <t xml:space="preserve">No Failures Recorded</t>
  </si>
  <si>
    <t xml:space="preserve">No failures recorded for TC-DASH-002; verify completeness once dependent modules (Lab, Pharmacy, Billing) are fixed</t>
  </si>
  <si>
    <t xml:space="preserve">Admin Panel</t>
  </si>
  <si>
    <t xml:space="preserve">TC-ADMPANEL-001</t>
  </si>
  <si>
    <t xml:space="preserve">Admin Credentials Not Working</t>
  </si>
  <si>
    <t xml:space="preserve">Admin test accounts had invalid credentials during UAT; admin login blocked for some testers</t>
  </si>
  <si>
    <t xml:space="preserve">Page Refresh Logs Admin Out</t>
  </si>
  <si>
    <t xml:space="preserve">Refreshing the page in the Admin module ends the session and redirects to login</t>
  </si>
  <si>
    <t xml:space="preserve">Facility List Not Auto-Loaded from NHFR</t>
  </si>
  <si>
    <t xml:space="preserve">Facility list in organization settings is not populated from NHFR; must be auto-loaded based on NHFR registration</t>
  </si>
  <si>
    <t xml:space="preserve">No Hospital Logo Upload</t>
  </si>
  <si>
    <t xml:space="preserve">Organization Settings has no logo upload; logo is needed for printed documents (letterheads, discharge summaries)</t>
  </si>
  <si>
    <t xml:space="preserve">No Change Summary Before Save</t>
  </si>
  <si>
    <t xml:space="preserve">Saving organization settings applies changes immediately with no confirmation summary of what was changed</t>
  </si>
  <si>
    <t xml:space="preserve">TC-ADMPANEL-002</t>
  </si>
  <si>
    <t xml:space="preserve">No Reset Password Function</t>
  </si>
  <si>
    <t xml:space="preserve">Admin cannot reset a user's password; no such button or flow exists in User Management</t>
  </si>
  <si>
    <t xml:space="preserve">No Pagination or Search in User List</t>
  </si>
  <si>
    <t xml:space="preserve">User Management list has no pagination or search; unusable at scale</t>
  </si>
  <si>
    <t xml:space="preserve">No Single-Session Enforcement</t>
  </si>
  <si>
    <t xml:space="preserve">Multiple concurrent sessions allowed per account; should enforce one active session per account</t>
  </si>
  <si>
    <t xml:space="preserve">No Verification Step Before Role Change</t>
  </si>
  <si>
    <t xml:space="preserve">Changing a user's role is applied immediately with no confirmation or verification step</t>
  </si>
  <si>
    <t xml:space="preserve">TC-ADMPANEL-003</t>
  </si>
  <si>
    <t xml:space="preserve">Role-Module Config Save Not Persisted</t>
  </si>
  <si>
    <t xml:space="preserve">Saving role-module access changes does not persist via API; changes are lost on page reload</t>
  </si>
  <si>
    <t xml:space="preserve">Module Assignment Not Reflected After Save</t>
  </si>
  <si>
    <t xml:space="preserve">After saving, the role-module access matrix does not reflect the saved state</t>
  </si>
  <si>
    <t xml:space="preserve">Doctors Can Access Admin Module</t>
  </si>
  <si>
    <t xml:space="preserve">Role-module matrix allows Doctor role to access the Admin module; must be locked out</t>
  </si>
  <si>
    <t xml:space="preserve">No Lock on Required Modules Per Role</t>
  </si>
  <si>
    <t xml:space="preserve">Admin can accidentally remove required module access from a role (e.g., remove Patients from Doctor)</t>
  </si>
  <si>
    <t xml:space="preserve">No Confirmation Step Before Applying Role Changes</t>
  </si>
  <si>
    <t xml:space="preserve">Role-module changes are applied without a verification or summary confirmation step</t>
  </si>
  <si>
    <t xml:space="preserve">Account Settings</t>
  </si>
  <si>
    <t xml:space="preserve">TC-SET-001</t>
  </si>
  <si>
    <t xml:space="preserve">OTP Failure Blocks All Profile Changes</t>
  </si>
  <si>
    <t xml:space="preserve">All account setting changes requiring OTP (password change, email) are blocked because OTP is non-functional</t>
  </si>
  <si>
    <t xml:space="preserve">Display Name Cannot Be Updated</t>
  </si>
  <si>
    <t xml:space="preserve">Display name field change does not save; fails silently</t>
  </si>
  <si>
    <t xml:space="preserve">Some Profile Fields Cannot Be Edited</t>
  </si>
  <si>
    <t xml:space="preserve">Certain profile fields are not responding to edit; changes cannot be saved</t>
  </si>
  <si>
    <t xml:space="preserve">Read-Only Fields Should Be Disabled</t>
  </si>
  <si>
    <t xml:space="preserve">Fields that should not be user-editable (role, system ID) should be visually disabled/locked, not just unresponsive</t>
  </si>
  <si>
    <t xml:space="preserve">Security</t>
  </si>
  <si>
    <t xml:space="preserve">TC-SEC-001</t>
  </si>
  <si>
    <t xml:space="preserve">Unauthenticated API Rejection — Not Tested</t>
  </si>
  <si>
    <t xml:space="preserve">TC-SEC-001 not tested; staging not configured to run backend security tests</t>
  </si>
  <si>
    <t xml:space="preserve">TC-SEC-002</t>
  </si>
  <si>
    <t xml:space="preserve">JWT Expiry and Role Enforcement — Not Tested</t>
  </si>
  <si>
    <t xml:space="preserve">TC-SEC-002 not tested; expired tokens and cross-role access rejection not verified</t>
  </si>
  <si>
    <t xml:space="preserve">TC-SEC-003</t>
  </si>
  <si>
    <t xml:space="preserve">Rate Limiting on Login Endpoint — Not Tested</t>
  </si>
  <si>
    <t xml:space="preserve">TC-SEC-003 not tested; rate limiting on login endpoint not verified</t>
  </si>
  <si>
    <t xml:space="preserve">TC-SEC-004</t>
  </si>
  <si>
    <t xml:space="preserve">Rate Limiting on Password Reset — Not Tested</t>
  </si>
  <si>
    <t xml:space="preserve">TC-SEC-004 not tested; rate limiting on password reset endpoint not verified</t>
  </si>
  <si>
    <t xml:space="preserve">TC-SEC-005</t>
  </si>
  <si>
    <t xml:space="preserve">Webhook Authentication — Not Tested</t>
  </si>
  <si>
    <t xml:space="preserve">TC-SEC-005 not tested; webhook endpoint auth not verified</t>
  </si>
  <si>
    <t xml:space="preserve">Cross-Cutting</t>
  </si>
  <si>
    <t xml:space="preserve">—</t>
  </si>
  <si>
    <t xml:space="preserve">OTP System Non-Functional System-Wide</t>
  </si>
  <si>
    <t xml:space="preserve">OTP email delivery is broken across all modules; must be fixed before any OTP-dependent flow can be re-tested</t>
  </si>
  <si>
    <t xml:space="preserve">Raw API Errors Exposed to End Users</t>
  </si>
  <si>
    <t xml:space="preserve">Raw JSON API error responses are displayed to end users across multiple modules; all must be caught and translated to friendly messages</t>
  </si>
  <si>
    <t xml:space="preserve">PhilHealth ID Encoding/Decoding Broken</t>
  </si>
  <si>
    <t xml:space="preserve">Encoded PhilHealth IDs cannot be decoded by the system; blocks Patients display, Billing, and all eClaims</t>
  </si>
  <si>
    <t xml:space="preserve">Page Refresh Logs Users Out</t>
  </si>
  <si>
    <t xml:space="preserve">Refreshing the page ends the session in Admin and possibly other modules; JWT refresh token or cookie handling is broken</t>
  </si>
  <si>
    <t xml:space="preserve">Patient/Encounter Context Not Carried Over</t>
  </si>
  <si>
    <t xml:space="preserve">Patient and encounter context is not automatically passed from Admission to Discharge to Billing; requires manual re-selection at each step</t>
  </si>
  <si>
    <t xml:space="preserve">Date/Time Validation Missing Across Modules</t>
  </si>
  <si>
    <t xml:space="preserve">Future dates, past dates beyond reason, and invalid datetimes accepted across Patients, Admission, Monitoring, Discharge, Appointments</t>
  </si>
  <si>
    <t xml:space="preserve">Module-level sidebar RBAC exists but queries are not filtered by record ownership/assignment; users see records they should not</t>
  </si>
  <si>
    <t xml:space="preserve">'Admission' (UI) and 'Encounter' (FHIR/UAT docs) used interchangeably; pick one and apply consistently</t>
  </si>
  <si>
    <t xml:space="preserve">All 6 Regression Smoke Tests Not Tested</t>
  </si>
  <si>
    <t xml:space="preserve">AUTH-004, PAT-001, ADM-001, LAB-003, DIS-003, SEC-001 all listed as NOT TESTED; must all PASS before post-fix regression</t>
  </si>
  <si>
    <t xml:space="preserve">UAT Summary Sheet Blank</t>
  </si>
  <si>
    <t xml:space="preserve">UAT Summary Pass/Fail/Blocked counts are all zero; must be completed using tester notes before Anna sign-off</t>
  </si>
  <si>
    <t xml:space="preserve">Defect Log Blank</t>
  </si>
  <si>
    <t xml:space="preserve">Defect Log not filled in; all FAIL items must be formally logged with TC reference, priority, description, and assigned developer</t>
  </si>
  <si>
    <t xml:space="preserve">Encoder Audit Trail Missing</t>
  </si>
  <si>
    <t xml:space="preserve">Forms do not record or display who encoded the data (user + timestamp); required for accountability and RA 10173 audit compliance</t>
  </si>
  <si>
    <t xml:space="preserve">Responsive Layout Breaks on Tablet</t>
  </si>
  <si>
    <t xml:space="preserve">Layout tested on iPad A16 shows responsiveness issues; must be fixed for non-desktop screen sizes before turnover</t>
  </si>
  <si>
    <t xml:space="preserve">FHIR Identifier Fields Editable System-Wide</t>
  </si>
  <si>
    <t xml:space="preserve">FHIR Identifier fields (Condition, Allergy, Immunization) are user-editable across modules; must be system-generated and read-only per PH Core FHIR R4</t>
  </si>
  <si>
    <t xml:space="preserve">WAH4H — Fix Progress Summary</t>
  </si>
  <si>
    <t xml:space="preserve">Total</t>
  </si>
  <si>
    <t xml:space="preserve">Resolved</t>
  </si>
  <si>
    <t xml:space="preserve">In Progress</t>
  </si>
  <si>
    <t xml:space="preserve">Blocked</t>
  </si>
  <si>
    <t xml:space="preserve">% Done</t>
  </si>
  <si>
    <t xml:space="preserve">TOTAL</t>
  </si>
  <si>
    <t xml:space="preserve">Status Legend</t>
  </si>
  <si>
    <t xml:space="preserve">Skipped</t>
  </si>
  <si>
    <t xml:space="preserve">WAH4H — Fix Changelog</t>
  </si>
  <si>
    <t xml:space="preserve">Date</t>
  </si>
  <si>
    <t xml:space="preserve">Comments / Notes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</si>
</sst>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General"/>
    <numFmt numFmtId="167" formatCode="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b val="true"/>
      <sz val="10"/>
      <color rgb="FF333333"/>
      <name val="Calibri"/>
      <family val="0"/>
      <charset val="1"/>
    </font>
    <font>
      <b val="true"/>
      <sz val="10"/>
      <color rgb="FF92400E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9"/>
      <color rgb="FF444444"/>
      <name val="Calibri"/>
      <family val="0"/>
      <charset val="1"/>
    </font>
    <font>
      <b val="true"/>
      <sz val="10"/>
      <color rgb="FF991B1B"/>
      <name val="Calibri"/>
      <family val="0"/>
      <charset val="1"/>
    </font>
    <font>
      <b val="true"/>
      <sz val="10"/>
      <color rgb="FF854D0E"/>
      <name val="Calibri"/>
      <family val="0"/>
      <charset val="1"/>
    </font>
    <font>
      <b val="true"/>
      <sz val="10"/>
      <color rgb="FF166534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sz val="10"/>
      <color rgb="FF166534"/>
      <name val="Calibri"/>
      <family val="0"/>
      <charset val="1"/>
    </font>
    <font>
      <sz val="10"/>
      <color rgb="FF854D0E"/>
      <name val="Calibri"/>
      <family val="0"/>
      <charset val="1"/>
    </font>
    <font>
      <sz val="10"/>
      <color rgb="FF991B1B"/>
      <name val="Calibri"/>
      <family val="0"/>
      <charset val="1"/>
    </font>
    <font>
      <sz val="10"/>
      <color rgb="FF5B21B6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5B21B6"/>
      <name val="Calibri"/>
      <family val="0"/>
      <charset val="1"/>
    </font>
    <font>
      <b val="true"/>
      <sz val="10"/>
      <color rgb="FF555555"/>
      <name val="Calibr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3F4F6"/>
        <bgColor rgb="FFEDE9FE"/>
      </patternFill>
    </fill>
    <fill>
      <patternFill patternType="solid">
        <fgColor rgb="FFFEF3C7"/>
        <bgColor rgb="FFFEF9C3"/>
      </patternFill>
    </fill>
    <fill>
      <patternFill patternType="solid">
        <fgColor rgb="FFFEE2E2"/>
        <bgColor rgb="FFEDE9FE"/>
      </patternFill>
    </fill>
    <fill>
      <patternFill patternType="solid">
        <fgColor rgb="FFFFFFFF"/>
        <bgColor rgb="FFF3F4F6"/>
      </patternFill>
    </fill>
    <fill>
      <patternFill patternType="solid">
        <fgColor rgb="FFFEF9C3"/>
        <bgColor rgb="FFFEF3C7"/>
      </patternFill>
    </fill>
    <fill>
      <patternFill patternType="solid">
        <fgColor rgb="FFDCFCE7"/>
        <bgColor rgb="FFF3F4F6"/>
      </patternFill>
    </fill>
    <fill>
      <patternFill patternType="solid">
        <fgColor rgb="FFEDE9FE"/>
        <bgColor rgb="FFE5E7EB"/>
      </patternFill>
    </fill>
    <fill>
      <patternFill patternType="solid">
        <fgColor rgb="FFE5E7EB"/>
        <bgColor rgb="FFEDE9FE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Calibri"/>
        <charset val="1"/>
        <family val="0"/>
        <b val="1"/>
        <color rgb="FF166534"/>
        <sz val="10"/>
      </font>
      <fill>
        <patternFill>
          <bgColor rgb="FFDCFCE7"/>
        </patternFill>
      </fill>
    </dxf>
    <dxf>
      <font>
        <name val="Calibri"/>
        <charset val="1"/>
        <family val="0"/>
        <b val="1"/>
        <color rgb="FF854D0E"/>
        <sz val="10"/>
      </font>
      <fill>
        <patternFill>
          <bgColor rgb="FFFEF9C3"/>
        </patternFill>
      </fill>
    </dxf>
    <dxf>
      <font>
        <name val="Calibri"/>
        <charset val="1"/>
        <family val="0"/>
        <b val="1"/>
        <color rgb="FF991B1B"/>
        <sz val="10"/>
      </font>
      <fill>
        <patternFill>
          <bgColor rgb="FFFEE2E2"/>
        </patternFill>
      </fill>
    </dxf>
    <dxf>
      <font>
        <name val="Calibri"/>
        <charset val="1"/>
        <family val="0"/>
        <b val="1"/>
        <color rgb="FF5B21B6"/>
        <sz val="10"/>
      </font>
      <fill>
        <patternFill>
          <bgColor rgb="FFEDE9FE"/>
        </patternFill>
      </fill>
    </dxf>
    <dxf>
      <font>
        <name val="Calibri"/>
        <charset val="1"/>
        <family val="0"/>
        <b val="1"/>
        <color rgb="FF555555"/>
        <sz val="10"/>
      </font>
      <fill>
        <patternFill>
          <bgColor rgb="FFE5E7E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166534"/>
      <rgbColor rgb="FF000080"/>
      <rgbColor rgb="FF808000"/>
      <rgbColor rgb="FF800080"/>
      <rgbColor rgb="FF008080"/>
      <rgbColor rgb="FFCCCCCC"/>
      <rgbColor rgb="FF808080"/>
      <rgbColor rgb="FF9999FF"/>
      <rgbColor rgb="FF854D0E"/>
      <rgbColor rgb="FFFEF9C3"/>
      <rgbColor rgb="FFDCFCE7"/>
      <rgbColor rgb="FF660066"/>
      <rgbColor rgb="FFFF8080"/>
      <rgbColor rgb="FF0066CC"/>
      <rgbColor rgb="FFEDE9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E5E7EB"/>
      <rgbColor rgb="FFFEF3C7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444444"/>
      <rgbColor rgb="FF92400E"/>
      <rgbColor rgb="FF993366"/>
      <rgbColor rgb="FF5B21B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28"/>
    <col collapsed="false" customWidth="true" hidden="false" outlineLevel="0" max="5" min="5" style="0" width="52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8" min="8" style="0" width="16"/>
    <col collapsed="false" customWidth="true" hidden="false" outlineLevel="0" max="9" min="9" style="0" width="48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7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customFormat="false" ht="43.5" hidden="false" customHeight="true" outlineLevel="0" collapsed="false">
      <c r="A3" s="3" t="s">
        <v>10</v>
      </c>
      <c r="B3" s="4" t="s">
        <v>11</v>
      </c>
      <c r="C3" s="5" t="s">
        <v>12</v>
      </c>
      <c r="D3" s="6" t="s">
        <v>13</v>
      </c>
      <c r="E3" s="7" t="s">
        <v>14</v>
      </c>
      <c r="F3" s="8" t="s">
        <v>15</v>
      </c>
      <c r="G3" s="9"/>
      <c r="H3" s="10"/>
      <c r="I3" s="6"/>
    </row>
    <row r="4" customFormat="false" ht="43.5" hidden="false" customHeight="true" outlineLevel="0" collapsed="false">
      <c r="A4" s="11" t="s">
        <v>10</v>
      </c>
      <c r="B4" s="12" t="s">
        <v>11</v>
      </c>
      <c r="C4" s="5" t="s">
        <v>12</v>
      </c>
      <c r="D4" s="13" t="s">
        <v>16</v>
      </c>
      <c r="E4" s="14" t="s">
        <v>17</v>
      </c>
      <c r="F4" s="8" t="s">
        <v>15</v>
      </c>
      <c r="G4" s="15"/>
      <c r="H4" s="16"/>
      <c r="I4" s="13"/>
    </row>
    <row r="5" customFormat="false" ht="43.5" hidden="false" customHeight="true" outlineLevel="0" collapsed="false">
      <c r="A5" s="3" t="s">
        <v>10</v>
      </c>
      <c r="B5" s="4" t="s">
        <v>11</v>
      </c>
      <c r="C5" s="5" t="s">
        <v>12</v>
      </c>
      <c r="D5" s="6" t="s">
        <v>18</v>
      </c>
      <c r="E5" s="7" t="s">
        <v>19</v>
      </c>
      <c r="F5" s="8" t="s">
        <v>15</v>
      </c>
      <c r="G5" s="9"/>
      <c r="H5" s="10"/>
      <c r="I5" s="6"/>
    </row>
    <row r="6" customFormat="false" ht="43.5" hidden="false" customHeight="true" outlineLevel="0" collapsed="false">
      <c r="A6" s="11" t="s">
        <v>10</v>
      </c>
      <c r="B6" s="12" t="s">
        <v>20</v>
      </c>
      <c r="C6" s="5" t="s">
        <v>12</v>
      </c>
      <c r="D6" s="13" t="s">
        <v>21</v>
      </c>
      <c r="E6" s="14" t="s">
        <v>22</v>
      </c>
      <c r="F6" s="8" t="s">
        <v>15</v>
      </c>
      <c r="G6" s="15"/>
      <c r="H6" s="16"/>
      <c r="I6" s="13"/>
    </row>
    <row r="7" customFormat="false" ht="43.5" hidden="false" customHeight="true" outlineLevel="0" collapsed="false">
      <c r="A7" s="3" t="s">
        <v>10</v>
      </c>
      <c r="B7" s="4" t="s">
        <v>20</v>
      </c>
      <c r="C7" s="5" t="s">
        <v>12</v>
      </c>
      <c r="D7" s="6" t="s">
        <v>23</v>
      </c>
      <c r="E7" s="7" t="s">
        <v>24</v>
      </c>
      <c r="F7" s="8" t="s">
        <v>15</v>
      </c>
      <c r="G7" s="9"/>
      <c r="H7" s="10"/>
      <c r="I7" s="6"/>
    </row>
    <row r="8" customFormat="false" ht="43.5" hidden="false" customHeight="true" outlineLevel="0" collapsed="false">
      <c r="A8" s="11" t="s">
        <v>10</v>
      </c>
      <c r="B8" s="12" t="s">
        <v>25</v>
      </c>
      <c r="C8" s="8" t="s">
        <v>26</v>
      </c>
      <c r="D8" s="13" t="s">
        <v>27</v>
      </c>
      <c r="E8" s="14" t="s">
        <v>28</v>
      </c>
      <c r="F8" s="8" t="s">
        <v>15</v>
      </c>
      <c r="G8" s="15"/>
      <c r="H8" s="16"/>
      <c r="I8" s="13"/>
    </row>
    <row r="9" customFormat="false" ht="43.5" hidden="false" customHeight="true" outlineLevel="0" collapsed="false">
      <c r="A9" s="3" t="s">
        <v>10</v>
      </c>
      <c r="B9" s="4" t="s">
        <v>25</v>
      </c>
      <c r="C9" s="8" t="s">
        <v>26</v>
      </c>
      <c r="D9" s="6" t="s">
        <v>29</v>
      </c>
      <c r="E9" s="7" t="s">
        <v>30</v>
      </c>
      <c r="F9" s="8" t="s">
        <v>15</v>
      </c>
      <c r="G9" s="9"/>
      <c r="H9" s="10"/>
      <c r="I9" s="6"/>
    </row>
    <row r="10" customFormat="false" ht="43.5" hidden="false" customHeight="true" outlineLevel="0" collapsed="false">
      <c r="A10" s="11" t="s">
        <v>10</v>
      </c>
      <c r="B10" s="12" t="s">
        <v>25</v>
      </c>
      <c r="C10" s="8" t="s">
        <v>26</v>
      </c>
      <c r="D10" s="13" t="s">
        <v>31</v>
      </c>
      <c r="E10" s="14" t="s">
        <v>32</v>
      </c>
      <c r="F10" s="8" t="s">
        <v>15</v>
      </c>
      <c r="G10" s="15"/>
      <c r="H10" s="16"/>
      <c r="I10" s="13"/>
    </row>
    <row r="11" customFormat="false" ht="43.5" hidden="false" customHeight="true" outlineLevel="0" collapsed="false">
      <c r="A11" s="3" t="s">
        <v>10</v>
      </c>
      <c r="B11" s="4" t="s">
        <v>25</v>
      </c>
      <c r="C11" s="5" t="s">
        <v>12</v>
      </c>
      <c r="D11" s="6" t="s">
        <v>33</v>
      </c>
      <c r="E11" s="7" t="s">
        <v>34</v>
      </c>
      <c r="F11" s="8" t="s">
        <v>15</v>
      </c>
      <c r="G11" s="9"/>
      <c r="H11" s="10"/>
      <c r="I11" s="6"/>
    </row>
    <row r="12" customFormat="false" ht="43.5" hidden="false" customHeight="true" outlineLevel="0" collapsed="false">
      <c r="A12" s="11" t="s">
        <v>10</v>
      </c>
      <c r="B12" s="12" t="s">
        <v>35</v>
      </c>
      <c r="C12" s="5" t="s">
        <v>12</v>
      </c>
      <c r="D12" s="13" t="s">
        <v>36</v>
      </c>
      <c r="E12" s="14" t="s">
        <v>37</v>
      </c>
      <c r="F12" s="8" t="s">
        <v>15</v>
      </c>
      <c r="G12" s="15"/>
      <c r="H12" s="16"/>
      <c r="I12" s="13"/>
    </row>
    <row r="13" customFormat="false" ht="43.5" hidden="false" customHeight="true" outlineLevel="0" collapsed="false">
      <c r="A13" s="3" t="s">
        <v>10</v>
      </c>
      <c r="B13" s="4" t="s">
        <v>35</v>
      </c>
      <c r="C13" s="5" t="s">
        <v>12</v>
      </c>
      <c r="D13" s="6" t="s">
        <v>38</v>
      </c>
      <c r="E13" s="7" t="s">
        <v>39</v>
      </c>
      <c r="F13" s="8" t="s">
        <v>15</v>
      </c>
      <c r="G13" s="9"/>
      <c r="H13" s="10"/>
      <c r="I13" s="6"/>
    </row>
    <row r="14" customFormat="false" ht="43.5" hidden="false" customHeight="true" outlineLevel="0" collapsed="false">
      <c r="A14" s="11" t="s">
        <v>10</v>
      </c>
      <c r="B14" s="12" t="s">
        <v>35</v>
      </c>
      <c r="C14" s="17" t="s">
        <v>40</v>
      </c>
      <c r="D14" s="13" t="s">
        <v>41</v>
      </c>
      <c r="E14" s="14" t="s">
        <v>42</v>
      </c>
      <c r="F14" s="8" t="s">
        <v>15</v>
      </c>
      <c r="G14" s="15"/>
      <c r="H14" s="16"/>
      <c r="I14" s="13"/>
    </row>
    <row r="15" customFormat="false" ht="43.5" hidden="false" customHeight="true" outlineLevel="0" collapsed="false">
      <c r="A15" s="3" t="s">
        <v>10</v>
      </c>
      <c r="B15" s="4" t="s">
        <v>43</v>
      </c>
      <c r="C15" s="5" t="s">
        <v>12</v>
      </c>
      <c r="D15" s="6" t="s">
        <v>44</v>
      </c>
      <c r="E15" s="7" t="s">
        <v>45</v>
      </c>
      <c r="F15" s="8" t="s">
        <v>15</v>
      </c>
      <c r="G15" s="9"/>
      <c r="H15" s="10"/>
      <c r="I15" s="6"/>
    </row>
    <row r="16" customFormat="false" ht="43.5" hidden="false" customHeight="true" outlineLevel="0" collapsed="false">
      <c r="A16" s="11" t="s">
        <v>46</v>
      </c>
      <c r="B16" s="12" t="s">
        <v>47</v>
      </c>
      <c r="C16" s="5" t="s">
        <v>12</v>
      </c>
      <c r="D16" s="13" t="s">
        <v>48</v>
      </c>
      <c r="E16" s="14" t="s">
        <v>49</v>
      </c>
      <c r="F16" s="8" t="s">
        <v>15</v>
      </c>
      <c r="G16" s="15"/>
      <c r="H16" s="16"/>
      <c r="I16" s="13"/>
    </row>
    <row r="17" customFormat="false" ht="43.5" hidden="false" customHeight="true" outlineLevel="0" collapsed="false">
      <c r="A17" s="3" t="s">
        <v>46</v>
      </c>
      <c r="B17" s="4" t="s">
        <v>50</v>
      </c>
      <c r="C17" s="5" t="s">
        <v>12</v>
      </c>
      <c r="D17" s="6" t="s">
        <v>51</v>
      </c>
      <c r="E17" s="7" t="s">
        <v>52</v>
      </c>
      <c r="F17" s="8" t="s">
        <v>15</v>
      </c>
      <c r="G17" s="9"/>
      <c r="H17" s="10"/>
      <c r="I17" s="6"/>
    </row>
    <row r="18" customFormat="false" ht="43.5" hidden="false" customHeight="true" outlineLevel="0" collapsed="false">
      <c r="A18" s="11" t="s">
        <v>46</v>
      </c>
      <c r="B18" s="12" t="s">
        <v>50</v>
      </c>
      <c r="C18" s="5" t="s">
        <v>12</v>
      </c>
      <c r="D18" s="13" t="s">
        <v>53</v>
      </c>
      <c r="E18" s="14" t="s">
        <v>54</v>
      </c>
      <c r="F18" s="8" t="s">
        <v>15</v>
      </c>
      <c r="G18" s="15"/>
      <c r="H18" s="16"/>
      <c r="I18" s="13"/>
    </row>
    <row r="19" customFormat="false" ht="43.5" hidden="false" customHeight="true" outlineLevel="0" collapsed="false">
      <c r="A19" s="3" t="s">
        <v>46</v>
      </c>
      <c r="B19" s="4" t="s">
        <v>50</v>
      </c>
      <c r="C19" s="5" t="s">
        <v>12</v>
      </c>
      <c r="D19" s="6" t="s">
        <v>55</v>
      </c>
      <c r="E19" s="7" t="s">
        <v>56</v>
      </c>
      <c r="F19" s="8" t="s">
        <v>15</v>
      </c>
      <c r="G19" s="9"/>
      <c r="H19" s="10"/>
      <c r="I19" s="6"/>
    </row>
    <row r="20" customFormat="false" ht="43.5" hidden="false" customHeight="true" outlineLevel="0" collapsed="false">
      <c r="A20" s="11" t="s">
        <v>46</v>
      </c>
      <c r="B20" s="12" t="s">
        <v>50</v>
      </c>
      <c r="C20" s="17" t="s">
        <v>40</v>
      </c>
      <c r="D20" s="13" t="s">
        <v>57</v>
      </c>
      <c r="E20" s="14" t="s">
        <v>58</v>
      </c>
      <c r="F20" s="8" t="s">
        <v>15</v>
      </c>
      <c r="G20" s="15"/>
      <c r="H20" s="16"/>
      <c r="I20" s="13"/>
    </row>
    <row r="21" customFormat="false" ht="43.5" hidden="false" customHeight="true" outlineLevel="0" collapsed="false">
      <c r="A21" s="3" t="s">
        <v>46</v>
      </c>
      <c r="B21" s="4" t="s">
        <v>50</v>
      </c>
      <c r="C21" s="17" t="s">
        <v>40</v>
      </c>
      <c r="D21" s="6" t="s">
        <v>59</v>
      </c>
      <c r="E21" s="7" t="s">
        <v>60</v>
      </c>
      <c r="F21" s="8" t="s">
        <v>15</v>
      </c>
      <c r="G21" s="9"/>
      <c r="H21" s="10"/>
      <c r="I21" s="6"/>
    </row>
    <row r="22" customFormat="false" ht="43.5" hidden="false" customHeight="true" outlineLevel="0" collapsed="false">
      <c r="A22" s="11" t="s">
        <v>46</v>
      </c>
      <c r="B22" s="12" t="s">
        <v>50</v>
      </c>
      <c r="C22" s="17" t="s">
        <v>40</v>
      </c>
      <c r="D22" s="13" t="s">
        <v>61</v>
      </c>
      <c r="E22" s="14" t="s">
        <v>62</v>
      </c>
      <c r="F22" s="8" t="s">
        <v>15</v>
      </c>
      <c r="G22" s="15"/>
      <c r="H22" s="16"/>
      <c r="I22" s="13"/>
    </row>
    <row r="23" customFormat="false" ht="43.5" hidden="false" customHeight="true" outlineLevel="0" collapsed="false">
      <c r="A23" s="3" t="s">
        <v>46</v>
      </c>
      <c r="B23" s="4" t="s">
        <v>63</v>
      </c>
      <c r="C23" s="8" t="s">
        <v>26</v>
      </c>
      <c r="D23" s="6" t="s">
        <v>64</v>
      </c>
      <c r="E23" s="7" t="s">
        <v>65</v>
      </c>
      <c r="F23" s="8" t="s">
        <v>15</v>
      </c>
      <c r="G23" s="9"/>
      <c r="H23" s="10"/>
      <c r="I23" s="6"/>
    </row>
    <row r="24" customFormat="false" ht="43.5" hidden="false" customHeight="true" outlineLevel="0" collapsed="false">
      <c r="A24" s="11" t="s">
        <v>46</v>
      </c>
      <c r="B24" s="12" t="s">
        <v>63</v>
      </c>
      <c r="C24" s="8" t="s">
        <v>26</v>
      </c>
      <c r="D24" s="13" t="s">
        <v>66</v>
      </c>
      <c r="E24" s="14" t="s">
        <v>67</v>
      </c>
      <c r="F24" s="8" t="s">
        <v>15</v>
      </c>
      <c r="G24" s="15"/>
      <c r="H24" s="16"/>
      <c r="I24" s="13"/>
    </row>
    <row r="25" customFormat="false" ht="43.5" hidden="false" customHeight="true" outlineLevel="0" collapsed="false">
      <c r="A25" s="3" t="s">
        <v>46</v>
      </c>
      <c r="B25" s="4" t="s">
        <v>63</v>
      </c>
      <c r="C25" s="8" t="s">
        <v>26</v>
      </c>
      <c r="D25" s="6" t="s">
        <v>68</v>
      </c>
      <c r="E25" s="7" t="s">
        <v>69</v>
      </c>
      <c r="F25" s="8" t="s">
        <v>15</v>
      </c>
      <c r="G25" s="9"/>
      <c r="H25" s="10"/>
      <c r="I25" s="6"/>
    </row>
    <row r="26" customFormat="false" ht="43.5" hidden="false" customHeight="true" outlineLevel="0" collapsed="false">
      <c r="A26" s="11" t="s">
        <v>46</v>
      </c>
      <c r="B26" s="12" t="s">
        <v>63</v>
      </c>
      <c r="C26" s="17" t="s">
        <v>40</v>
      </c>
      <c r="D26" s="13" t="s">
        <v>70</v>
      </c>
      <c r="E26" s="14" t="s">
        <v>71</v>
      </c>
      <c r="F26" s="8" t="s">
        <v>15</v>
      </c>
      <c r="G26" s="15"/>
      <c r="H26" s="16"/>
      <c r="I26" s="13"/>
    </row>
    <row r="27" customFormat="false" ht="43.5" hidden="false" customHeight="true" outlineLevel="0" collapsed="false">
      <c r="A27" s="3" t="s">
        <v>46</v>
      </c>
      <c r="B27" s="4" t="s">
        <v>72</v>
      </c>
      <c r="C27" s="5" t="s">
        <v>12</v>
      </c>
      <c r="D27" s="6" t="s">
        <v>73</v>
      </c>
      <c r="E27" s="7" t="s">
        <v>74</v>
      </c>
      <c r="F27" s="8" t="s">
        <v>15</v>
      </c>
      <c r="G27" s="9"/>
      <c r="H27" s="10"/>
      <c r="I27" s="6"/>
    </row>
    <row r="28" customFormat="false" ht="43.5" hidden="false" customHeight="true" outlineLevel="0" collapsed="false">
      <c r="A28" s="11" t="s">
        <v>46</v>
      </c>
      <c r="B28" s="12" t="s">
        <v>72</v>
      </c>
      <c r="C28" s="5" t="s">
        <v>12</v>
      </c>
      <c r="D28" s="13" t="s">
        <v>75</v>
      </c>
      <c r="E28" s="14" t="s">
        <v>76</v>
      </c>
      <c r="F28" s="8" t="s">
        <v>15</v>
      </c>
      <c r="G28" s="15"/>
      <c r="H28" s="16"/>
      <c r="I28" s="13"/>
    </row>
    <row r="29" customFormat="false" ht="43.5" hidden="false" customHeight="true" outlineLevel="0" collapsed="false">
      <c r="A29" s="3" t="s">
        <v>46</v>
      </c>
      <c r="B29" s="4" t="s">
        <v>72</v>
      </c>
      <c r="C29" s="17" t="s">
        <v>40</v>
      </c>
      <c r="D29" s="6" t="s">
        <v>77</v>
      </c>
      <c r="E29" s="7" t="s">
        <v>78</v>
      </c>
      <c r="F29" s="8" t="s">
        <v>15</v>
      </c>
      <c r="G29" s="9"/>
      <c r="H29" s="10"/>
      <c r="I29" s="6"/>
    </row>
    <row r="30" customFormat="false" ht="43.5" hidden="false" customHeight="true" outlineLevel="0" collapsed="false">
      <c r="A30" s="11" t="s">
        <v>46</v>
      </c>
      <c r="B30" s="12" t="s">
        <v>72</v>
      </c>
      <c r="C30" s="17" t="s">
        <v>40</v>
      </c>
      <c r="D30" s="13" t="s">
        <v>79</v>
      </c>
      <c r="E30" s="14" t="s">
        <v>80</v>
      </c>
      <c r="F30" s="8" t="s">
        <v>15</v>
      </c>
      <c r="G30" s="15"/>
      <c r="H30" s="16"/>
      <c r="I30" s="13"/>
    </row>
    <row r="31" customFormat="false" ht="43.5" hidden="false" customHeight="true" outlineLevel="0" collapsed="false">
      <c r="A31" s="3" t="s">
        <v>46</v>
      </c>
      <c r="B31" s="4" t="s">
        <v>81</v>
      </c>
      <c r="C31" s="5" t="s">
        <v>12</v>
      </c>
      <c r="D31" s="6" t="s">
        <v>82</v>
      </c>
      <c r="E31" s="7" t="s">
        <v>83</v>
      </c>
      <c r="F31" s="8" t="s">
        <v>15</v>
      </c>
      <c r="G31" s="9"/>
      <c r="H31" s="10"/>
      <c r="I31" s="6"/>
    </row>
    <row r="32" customFormat="false" ht="43.5" hidden="false" customHeight="true" outlineLevel="0" collapsed="false">
      <c r="A32" s="11" t="s">
        <v>46</v>
      </c>
      <c r="B32" s="12" t="s">
        <v>81</v>
      </c>
      <c r="C32" s="17" t="s">
        <v>40</v>
      </c>
      <c r="D32" s="13" t="s">
        <v>84</v>
      </c>
      <c r="E32" s="14" t="s">
        <v>85</v>
      </c>
      <c r="F32" s="8" t="s">
        <v>15</v>
      </c>
      <c r="G32" s="15"/>
      <c r="H32" s="16"/>
      <c r="I32" s="13"/>
    </row>
    <row r="33" customFormat="false" ht="43.5" hidden="false" customHeight="true" outlineLevel="0" collapsed="false">
      <c r="A33" s="3" t="s">
        <v>46</v>
      </c>
      <c r="B33" s="4" t="s">
        <v>86</v>
      </c>
      <c r="C33" s="8" t="s">
        <v>26</v>
      </c>
      <c r="D33" s="6" t="s">
        <v>87</v>
      </c>
      <c r="E33" s="7" t="s">
        <v>88</v>
      </c>
      <c r="F33" s="8" t="s">
        <v>15</v>
      </c>
      <c r="G33" s="9"/>
      <c r="H33" s="10"/>
      <c r="I33" s="6"/>
    </row>
    <row r="34" customFormat="false" ht="43.5" hidden="false" customHeight="true" outlineLevel="0" collapsed="false">
      <c r="A34" s="11" t="s">
        <v>46</v>
      </c>
      <c r="B34" s="12" t="s">
        <v>86</v>
      </c>
      <c r="C34" s="8" t="s">
        <v>26</v>
      </c>
      <c r="D34" s="13" t="s">
        <v>89</v>
      </c>
      <c r="E34" s="14" t="s">
        <v>90</v>
      </c>
      <c r="F34" s="8" t="s">
        <v>15</v>
      </c>
      <c r="G34" s="15"/>
      <c r="H34" s="16"/>
      <c r="I34" s="13"/>
    </row>
    <row r="35" customFormat="false" ht="43.5" hidden="false" customHeight="true" outlineLevel="0" collapsed="false">
      <c r="A35" s="3" t="s">
        <v>46</v>
      </c>
      <c r="B35" s="4" t="s">
        <v>86</v>
      </c>
      <c r="C35" s="5" t="s">
        <v>12</v>
      </c>
      <c r="D35" s="6" t="s">
        <v>91</v>
      </c>
      <c r="E35" s="7" t="s">
        <v>92</v>
      </c>
      <c r="F35" s="8" t="s">
        <v>15</v>
      </c>
      <c r="G35" s="9"/>
      <c r="H35" s="10"/>
      <c r="I35" s="6"/>
    </row>
    <row r="36" customFormat="false" ht="43.5" hidden="false" customHeight="true" outlineLevel="0" collapsed="false">
      <c r="A36" s="11" t="s">
        <v>46</v>
      </c>
      <c r="B36" s="12" t="s">
        <v>86</v>
      </c>
      <c r="C36" s="17" t="s">
        <v>40</v>
      </c>
      <c r="D36" s="13" t="s">
        <v>93</v>
      </c>
      <c r="E36" s="14" t="s">
        <v>94</v>
      </c>
      <c r="F36" s="8" t="s">
        <v>15</v>
      </c>
      <c r="G36" s="15"/>
      <c r="H36" s="16"/>
      <c r="I36" s="13"/>
    </row>
    <row r="37" customFormat="false" ht="43.5" hidden="false" customHeight="true" outlineLevel="0" collapsed="false">
      <c r="A37" s="3" t="s">
        <v>46</v>
      </c>
      <c r="B37" s="4" t="s">
        <v>86</v>
      </c>
      <c r="C37" s="17" t="s">
        <v>40</v>
      </c>
      <c r="D37" s="6" t="s">
        <v>95</v>
      </c>
      <c r="E37" s="7" t="s">
        <v>96</v>
      </c>
      <c r="F37" s="8" t="s">
        <v>15</v>
      </c>
      <c r="G37" s="9"/>
      <c r="H37" s="10"/>
      <c r="I37" s="6"/>
    </row>
    <row r="38" customFormat="false" ht="43.5" hidden="false" customHeight="true" outlineLevel="0" collapsed="false">
      <c r="A38" s="11" t="s">
        <v>46</v>
      </c>
      <c r="B38" s="12" t="s">
        <v>97</v>
      </c>
      <c r="C38" s="8" t="s">
        <v>26</v>
      </c>
      <c r="D38" s="13" t="s">
        <v>98</v>
      </c>
      <c r="E38" s="14" t="s">
        <v>99</v>
      </c>
      <c r="F38" s="8" t="s">
        <v>15</v>
      </c>
      <c r="G38" s="15"/>
      <c r="H38" s="16"/>
      <c r="I38" s="13"/>
    </row>
    <row r="39" customFormat="false" ht="43.5" hidden="false" customHeight="true" outlineLevel="0" collapsed="false">
      <c r="A39" s="3" t="s">
        <v>46</v>
      </c>
      <c r="B39" s="4" t="s">
        <v>97</v>
      </c>
      <c r="C39" s="8" t="s">
        <v>26</v>
      </c>
      <c r="D39" s="6" t="s">
        <v>100</v>
      </c>
      <c r="E39" s="7" t="s">
        <v>101</v>
      </c>
      <c r="F39" s="8" t="s">
        <v>15</v>
      </c>
      <c r="G39" s="9"/>
      <c r="H39" s="10"/>
      <c r="I39" s="6"/>
    </row>
    <row r="40" customFormat="false" ht="43.5" hidden="false" customHeight="true" outlineLevel="0" collapsed="false">
      <c r="A40" s="11" t="s">
        <v>46</v>
      </c>
      <c r="B40" s="12" t="s">
        <v>97</v>
      </c>
      <c r="C40" s="5" t="s">
        <v>12</v>
      </c>
      <c r="D40" s="13" t="s">
        <v>102</v>
      </c>
      <c r="E40" s="14" t="s">
        <v>103</v>
      </c>
      <c r="F40" s="8" t="s">
        <v>15</v>
      </c>
      <c r="G40" s="15"/>
      <c r="H40" s="16"/>
      <c r="I40" s="13"/>
    </row>
    <row r="41" customFormat="false" ht="43.5" hidden="false" customHeight="true" outlineLevel="0" collapsed="false">
      <c r="A41" s="3" t="s">
        <v>46</v>
      </c>
      <c r="B41" s="4" t="s">
        <v>104</v>
      </c>
      <c r="C41" s="8" t="s">
        <v>26</v>
      </c>
      <c r="D41" s="6" t="s">
        <v>105</v>
      </c>
      <c r="E41" s="7" t="s">
        <v>106</v>
      </c>
      <c r="F41" s="8" t="s">
        <v>15</v>
      </c>
      <c r="G41" s="9"/>
      <c r="H41" s="10"/>
      <c r="I41" s="6"/>
    </row>
    <row r="42" customFormat="false" ht="43.5" hidden="false" customHeight="true" outlineLevel="0" collapsed="false">
      <c r="A42" s="11" t="s">
        <v>46</v>
      </c>
      <c r="B42" s="12" t="s">
        <v>104</v>
      </c>
      <c r="C42" s="8" t="s">
        <v>26</v>
      </c>
      <c r="D42" s="13" t="s">
        <v>107</v>
      </c>
      <c r="E42" s="14" t="s">
        <v>108</v>
      </c>
      <c r="F42" s="8" t="s">
        <v>15</v>
      </c>
      <c r="G42" s="15"/>
      <c r="H42" s="16"/>
      <c r="I42" s="13"/>
    </row>
    <row r="43" customFormat="false" ht="43.5" hidden="false" customHeight="true" outlineLevel="0" collapsed="false">
      <c r="A43" s="3" t="s">
        <v>46</v>
      </c>
      <c r="B43" s="4" t="s">
        <v>104</v>
      </c>
      <c r="C43" s="5" t="s">
        <v>12</v>
      </c>
      <c r="D43" s="6" t="s">
        <v>109</v>
      </c>
      <c r="E43" s="7" t="s">
        <v>110</v>
      </c>
      <c r="F43" s="8" t="s">
        <v>15</v>
      </c>
      <c r="G43" s="9"/>
      <c r="H43" s="10"/>
      <c r="I43" s="6"/>
    </row>
    <row r="44" customFormat="false" ht="43.5" hidden="false" customHeight="true" outlineLevel="0" collapsed="false">
      <c r="A44" s="11" t="s">
        <v>46</v>
      </c>
      <c r="B44" s="12" t="s">
        <v>104</v>
      </c>
      <c r="C44" s="5" t="s">
        <v>12</v>
      </c>
      <c r="D44" s="13" t="s">
        <v>111</v>
      </c>
      <c r="E44" s="14" t="s">
        <v>112</v>
      </c>
      <c r="F44" s="8" t="s">
        <v>15</v>
      </c>
      <c r="G44" s="15"/>
      <c r="H44" s="16"/>
      <c r="I44" s="13"/>
    </row>
    <row r="45" customFormat="false" ht="43.5" hidden="false" customHeight="true" outlineLevel="0" collapsed="false">
      <c r="A45" s="3" t="s">
        <v>46</v>
      </c>
      <c r="B45" s="4" t="s">
        <v>104</v>
      </c>
      <c r="C45" s="17" t="s">
        <v>40</v>
      </c>
      <c r="D45" s="6" t="s">
        <v>113</v>
      </c>
      <c r="E45" s="7" t="s">
        <v>114</v>
      </c>
      <c r="F45" s="8" t="s">
        <v>15</v>
      </c>
      <c r="G45" s="9"/>
      <c r="H45" s="10"/>
      <c r="I45" s="6"/>
    </row>
    <row r="46" customFormat="false" ht="43.5" hidden="false" customHeight="true" outlineLevel="0" collapsed="false">
      <c r="A46" s="11" t="s">
        <v>46</v>
      </c>
      <c r="B46" s="12" t="s">
        <v>115</v>
      </c>
      <c r="C46" s="5" t="s">
        <v>12</v>
      </c>
      <c r="D46" s="13" t="s">
        <v>116</v>
      </c>
      <c r="E46" s="14" t="s">
        <v>117</v>
      </c>
      <c r="F46" s="8" t="s">
        <v>15</v>
      </c>
      <c r="G46" s="15"/>
      <c r="H46" s="16"/>
      <c r="I46" s="13"/>
    </row>
    <row r="47" customFormat="false" ht="43.5" hidden="false" customHeight="true" outlineLevel="0" collapsed="false">
      <c r="A47" s="3" t="s">
        <v>118</v>
      </c>
      <c r="B47" s="4" t="s">
        <v>119</v>
      </c>
      <c r="C47" s="5" t="s">
        <v>12</v>
      </c>
      <c r="D47" s="6" t="s">
        <v>120</v>
      </c>
      <c r="E47" s="7" t="s">
        <v>121</v>
      </c>
      <c r="F47" s="8" t="s">
        <v>15</v>
      </c>
      <c r="G47" s="9"/>
      <c r="H47" s="10"/>
      <c r="I47" s="6"/>
    </row>
    <row r="48" customFormat="false" ht="43.5" hidden="false" customHeight="true" outlineLevel="0" collapsed="false">
      <c r="A48" s="11" t="s">
        <v>118</v>
      </c>
      <c r="B48" s="12" t="s">
        <v>119</v>
      </c>
      <c r="C48" s="5" t="s">
        <v>12</v>
      </c>
      <c r="D48" s="13" t="s">
        <v>122</v>
      </c>
      <c r="E48" s="14" t="s">
        <v>123</v>
      </c>
      <c r="F48" s="8" t="s">
        <v>15</v>
      </c>
      <c r="G48" s="15"/>
      <c r="H48" s="16"/>
      <c r="I48" s="13"/>
    </row>
    <row r="49" customFormat="false" ht="43.5" hidden="false" customHeight="true" outlineLevel="0" collapsed="false">
      <c r="A49" s="3" t="s">
        <v>118</v>
      </c>
      <c r="B49" s="4" t="s">
        <v>119</v>
      </c>
      <c r="C49" s="5" t="s">
        <v>12</v>
      </c>
      <c r="D49" s="6" t="s">
        <v>124</v>
      </c>
      <c r="E49" s="7" t="s">
        <v>125</v>
      </c>
      <c r="F49" s="8" t="s">
        <v>15</v>
      </c>
      <c r="G49" s="9"/>
      <c r="H49" s="10"/>
      <c r="I49" s="6"/>
    </row>
    <row r="50" customFormat="false" ht="43.5" hidden="false" customHeight="true" outlineLevel="0" collapsed="false">
      <c r="A50" s="11" t="s">
        <v>118</v>
      </c>
      <c r="B50" s="12" t="s">
        <v>119</v>
      </c>
      <c r="C50" s="17" t="s">
        <v>40</v>
      </c>
      <c r="D50" s="13" t="s">
        <v>126</v>
      </c>
      <c r="E50" s="14" t="s">
        <v>127</v>
      </c>
      <c r="F50" s="8" t="s">
        <v>15</v>
      </c>
      <c r="G50" s="15"/>
      <c r="H50" s="16"/>
      <c r="I50" s="13"/>
    </row>
    <row r="51" customFormat="false" ht="43.5" hidden="false" customHeight="true" outlineLevel="0" collapsed="false">
      <c r="A51" s="3" t="s">
        <v>118</v>
      </c>
      <c r="B51" s="4" t="s">
        <v>119</v>
      </c>
      <c r="C51" s="17" t="s">
        <v>40</v>
      </c>
      <c r="D51" s="6" t="s">
        <v>128</v>
      </c>
      <c r="E51" s="7" t="s">
        <v>129</v>
      </c>
      <c r="F51" s="8" t="s">
        <v>15</v>
      </c>
      <c r="G51" s="9"/>
      <c r="H51" s="10"/>
      <c r="I51" s="6"/>
    </row>
    <row r="52" customFormat="false" ht="43.5" hidden="false" customHeight="true" outlineLevel="0" collapsed="false">
      <c r="A52" s="11" t="s">
        <v>118</v>
      </c>
      <c r="B52" s="12" t="s">
        <v>119</v>
      </c>
      <c r="C52" s="17" t="s">
        <v>40</v>
      </c>
      <c r="D52" s="13" t="s">
        <v>130</v>
      </c>
      <c r="E52" s="14" t="s">
        <v>131</v>
      </c>
      <c r="F52" s="8" t="s">
        <v>15</v>
      </c>
      <c r="G52" s="15"/>
      <c r="H52" s="16"/>
      <c r="I52" s="13"/>
    </row>
    <row r="53" customFormat="false" ht="43.5" hidden="false" customHeight="true" outlineLevel="0" collapsed="false">
      <c r="A53" s="3" t="s">
        <v>118</v>
      </c>
      <c r="B53" s="4" t="s">
        <v>132</v>
      </c>
      <c r="C53" s="5" t="s">
        <v>12</v>
      </c>
      <c r="D53" s="6" t="s">
        <v>133</v>
      </c>
      <c r="E53" s="7" t="s">
        <v>134</v>
      </c>
      <c r="F53" s="8" t="s">
        <v>15</v>
      </c>
      <c r="G53" s="9"/>
      <c r="H53" s="10"/>
      <c r="I53" s="6"/>
    </row>
    <row r="54" customFormat="false" ht="43.5" hidden="false" customHeight="true" outlineLevel="0" collapsed="false">
      <c r="A54" s="11" t="s">
        <v>118</v>
      </c>
      <c r="B54" s="12" t="s">
        <v>132</v>
      </c>
      <c r="C54" s="5" t="s">
        <v>12</v>
      </c>
      <c r="D54" s="13" t="s">
        <v>135</v>
      </c>
      <c r="E54" s="14" t="s">
        <v>136</v>
      </c>
      <c r="F54" s="8" t="s">
        <v>15</v>
      </c>
      <c r="G54" s="15"/>
      <c r="H54" s="16"/>
      <c r="I54" s="13"/>
    </row>
    <row r="55" customFormat="false" ht="43.5" hidden="false" customHeight="true" outlineLevel="0" collapsed="false">
      <c r="A55" s="3" t="s">
        <v>118</v>
      </c>
      <c r="B55" s="4" t="s">
        <v>119</v>
      </c>
      <c r="C55" s="17" t="s">
        <v>40</v>
      </c>
      <c r="D55" s="6" t="s">
        <v>137</v>
      </c>
      <c r="E55" s="7" t="s">
        <v>138</v>
      </c>
      <c r="F55" s="8" t="s">
        <v>15</v>
      </c>
      <c r="G55" s="9"/>
      <c r="H55" s="10"/>
      <c r="I55" s="6"/>
    </row>
    <row r="56" customFormat="false" ht="43.5" hidden="false" customHeight="true" outlineLevel="0" collapsed="false">
      <c r="A56" s="11" t="s">
        <v>118</v>
      </c>
      <c r="B56" s="12" t="s">
        <v>139</v>
      </c>
      <c r="C56" s="17" t="s">
        <v>40</v>
      </c>
      <c r="D56" s="13" t="s">
        <v>140</v>
      </c>
      <c r="E56" s="14" t="s">
        <v>141</v>
      </c>
      <c r="F56" s="8" t="s">
        <v>15</v>
      </c>
      <c r="G56" s="15"/>
      <c r="H56" s="16"/>
      <c r="I56" s="13"/>
    </row>
    <row r="57" customFormat="false" ht="43.5" hidden="false" customHeight="true" outlineLevel="0" collapsed="false">
      <c r="A57" s="3" t="s">
        <v>142</v>
      </c>
      <c r="B57" s="4" t="s">
        <v>143</v>
      </c>
      <c r="C57" s="5" t="s">
        <v>12</v>
      </c>
      <c r="D57" s="6" t="s">
        <v>144</v>
      </c>
      <c r="E57" s="7" t="s">
        <v>145</v>
      </c>
      <c r="F57" s="8" t="s">
        <v>15</v>
      </c>
      <c r="G57" s="9"/>
      <c r="H57" s="10"/>
      <c r="I57" s="6"/>
    </row>
    <row r="58" customFormat="false" ht="43.5" hidden="false" customHeight="true" outlineLevel="0" collapsed="false">
      <c r="A58" s="11" t="s">
        <v>142</v>
      </c>
      <c r="B58" s="12" t="s">
        <v>146</v>
      </c>
      <c r="C58" s="5" t="s">
        <v>12</v>
      </c>
      <c r="D58" s="13" t="s">
        <v>147</v>
      </c>
      <c r="E58" s="14" t="s">
        <v>148</v>
      </c>
      <c r="F58" s="8" t="s">
        <v>15</v>
      </c>
      <c r="G58" s="15"/>
      <c r="H58" s="16"/>
      <c r="I58" s="13"/>
    </row>
    <row r="59" customFormat="false" ht="43.5" hidden="false" customHeight="true" outlineLevel="0" collapsed="false">
      <c r="A59" s="3" t="s">
        <v>142</v>
      </c>
      <c r="B59" s="4" t="s">
        <v>149</v>
      </c>
      <c r="C59" s="5" t="s">
        <v>12</v>
      </c>
      <c r="D59" s="6" t="s">
        <v>150</v>
      </c>
      <c r="E59" s="7" t="s">
        <v>151</v>
      </c>
      <c r="F59" s="8" t="s">
        <v>15</v>
      </c>
      <c r="G59" s="9"/>
      <c r="H59" s="10"/>
      <c r="I59" s="6"/>
    </row>
    <row r="60" customFormat="false" ht="43.5" hidden="false" customHeight="true" outlineLevel="0" collapsed="false">
      <c r="A60" s="11" t="s">
        <v>142</v>
      </c>
      <c r="B60" s="12" t="s">
        <v>149</v>
      </c>
      <c r="C60" s="5" t="s">
        <v>12</v>
      </c>
      <c r="D60" s="13" t="s">
        <v>152</v>
      </c>
      <c r="E60" s="14" t="s">
        <v>153</v>
      </c>
      <c r="F60" s="8" t="s">
        <v>15</v>
      </c>
      <c r="G60" s="15"/>
      <c r="H60" s="16"/>
      <c r="I60" s="13"/>
    </row>
    <row r="61" customFormat="false" ht="43.5" hidden="false" customHeight="true" outlineLevel="0" collapsed="false">
      <c r="A61" s="3" t="s">
        <v>142</v>
      </c>
      <c r="B61" s="4" t="s">
        <v>154</v>
      </c>
      <c r="C61" s="5" t="s">
        <v>12</v>
      </c>
      <c r="D61" s="6" t="s">
        <v>155</v>
      </c>
      <c r="E61" s="7" t="s">
        <v>156</v>
      </c>
      <c r="F61" s="8" t="s">
        <v>15</v>
      </c>
      <c r="G61" s="9"/>
      <c r="H61" s="10"/>
      <c r="I61" s="6"/>
    </row>
    <row r="62" customFormat="false" ht="43.5" hidden="false" customHeight="true" outlineLevel="0" collapsed="false">
      <c r="A62" s="11" t="s">
        <v>142</v>
      </c>
      <c r="B62" s="12" t="s">
        <v>154</v>
      </c>
      <c r="C62" s="17" t="s">
        <v>40</v>
      </c>
      <c r="D62" s="13" t="s">
        <v>157</v>
      </c>
      <c r="E62" s="14" t="s">
        <v>158</v>
      </c>
      <c r="F62" s="8" t="s">
        <v>15</v>
      </c>
      <c r="G62" s="15"/>
      <c r="H62" s="16"/>
      <c r="I62" s="13"/>
    </row>
    <row r="63" customFormat="false" ht="43.5" hidden="false" customHeight="true" outlineLevel="0" collapsed="false">
      <c r="A63" s="3" t="s">
        <v>142</v>
      </c>
      <c r="B63" s="4" t="s">
        <v>154</v>
      </c>
      <c r="C63" s="17" t="s">
        <v>40</v>
      </c>
      <c r="D63" s="6" t="s">
        <v>159</v>
      </c>
      <c r="E63" s="7" t="s">
        <v>160</v>
      </c>
      <c r="F63" s="8" t="s">
        <v>15</v>
      </c>
      <c r="G63" s="9"/>
      <c r="H63" s="10"/>
      <c r="I63" s="6"/>
    </row>
    <row r="64" customFormat="false" ht="43.5" hidden="false" customHeight="true" outlineLevel="0" collapsed="false">
      <c r="A64" s="11" t="s">
        <v>142</v>
      </c>
      <c r="B64" s="12" t="s">
        <v>154</v>
      </c>
      <c r="C64" s="17" t="s">
        <v>40</v>
      </c>
      <c r="D64" s="13" t="s">
        <v>161</v>
      </c>
      <c r="E64" s="14" t="s">
        <v>162</v>
      </c>
      <c r="F64" s="8" t="s">
        <v>15</v>
      </c>
      <c r="G64" s="15"/>
      <c r="H64" s="16"/>
      <c r="I64" s="13"/>
    </row>
    <row r="65" customFormat="false" ht="43.5" hidden="false" customHeight="true" outlineLevel="0" collapsed="false">
      <c r="A65" s="3" t="s">
        <v>163</v>
      </c>
      <c r="B65" s="4" t="s">
        <v>164</v>
      </c>
      <c r="C65" s="8" t="s">
        <v>26</v>
      </c>
      <c r="D65" s="6" t="s">
        <v>165</v>
      </c>
      <c r="E65" s="7" t="s">
        <v>166</v>
      </c>
      <c r="F65" s="8" t="s">
        <v>15</v>
      </c>
      <c r="G65" s="9"/>
      <c r="H65" s="10"/>
      <c r="I65" s="6"/>
    </row>
    <row r="66" customFormat="false" ht="43.5" hidden="false" customHeight="true" outlineLevel="0" collapsed="false">
      <c r="A66" s="11" t="s">
        <v>163</v>
      </c>
      <c r="B66" s="12" t="s">
        <v>164</v>
      </c>
      <c r="C66" s="8" t="s">
        <v>26</v>
      </c>
      <c r="D66" s="13" t="s">
        <v>167</v>
      </c>
      <c r="E66" s="14" t="s">
        <v>168</v>
      </c>
      <c r="F66" s="8" t="s">
        <v>15</v>
      </c>
      <c r="G66" s="15"/>
      <c r="H66" s="16"/>
      <c r="I66" s="13"/>
    </row>
    <row r="67" customFormat="false" ht="43.5" hidden="false" customHeight="true" outlineLevel="0" collapsed="false">
      <c r="A67" s="3" t="s">
        <v>163</v>
      </c>
      <c r="B67" s="4" t="s">
        <v>164</v>
      </c>
      <c r="C67" s="5" t="s">
        <v>12</v>
      </c>
      <c r="D67" s="6" t="s">
        <v>169</v>
      </c>
      <c r="E67" s="7" t="s">
        <v>170</v>
      </c>
      <c r="F67" s="8" t="s">
        <v>15</v>
      </c>
      <c r="G67" s="9"/>
      <c r="H67" s="10"/>
      <c r="I67" s="6"/>
    </row>
    <row r="68" customFormat="false" ht="43.5" hidden="false" customHeight="true" outlineLevel="0" collapsed="false">
      <c r="A68" s="11" t="s">
        <v>163</v>
      </c>
      <c r="B68" s="12" t="s">
        <v>164</v>
      </c>
      <c r="C68" s="5" t="s">
        <v>12</v>
      </c>
      <c r="D68" s="13" t="s">
        <v>171</v>
      </c>
      <c r="E68" s="14" t="s">
        <v>172</v>
      </c>
      <c r="F68" s="8" t="s">
        <v>15</v>
      </c>
      <c r="G68" s="15"/>
      <c r="H68" s="16"/>
      <c r="I68" s="13"/>
    </row>
    <row r="69" customFormat="false" ht="43.5" hidden="false" customHeight="true" outlineLevel="0" collapsed="false">
      <c r="A69" s="3" t="s">
        <v>163</v>
      </c>
      <c r="B69" s="4" t="s">
        <v>164</v>
      </c>
      <c r="C69" s="17" t="s">
        <v>40</v>
      </c>
      <c r="D69" s="6" t="s">
        <v>173</v>
      </c>
      <c r="E69" s="7" t="s">
        <v>174</v>
      </c>
      <c r="F69" s="8" t="s">
        <v>15</v>
      </c>
      <c r="G69" s="9"/>
      <c r="H69" s="10"/>
      <c r="I69" s="6"/>
    </row>
    <row r="70" customFormat="false" ht="43.5" hidden="false" customHeight="true" outlineLevel="0" collapsed="false">
      <c r="A70" s="11" t="s">
        <v>163</v>
      </c>
      <c r="B70" s="12" t="s">
        <v>175</v>
      </c>
      <c r="C70" s="5" t="s">
        <v>12</v>
      </c>
      <c r="D70" s="13" t="s">
        <v>176</v>
      </c>
      <c r="E70" s="14" t="s">
        <v>177</v>
      </c>
      <c r="F70" s="8" t="s">
        <v>15</v>
      </c>
      <c r="G70" s="15"/>
      <c r="H70" s="16"/>
      <c r="I70" s="13"/>
    </row>
    <row r="71" customFormat="false" ht="43.5" hidden="false" customHeight="true" outlineLevel="0" collapsed="false">
      <c r="A71" s="3" t="s">
        <v>163</v>
      </c>
      <c r="B71" s="4" t="s">
        <v>175</v>
      </c>
      <c r="C71" s="5" t="s">
        <v>12</v>
      </c>
      <c r="D71" s="6" t="s">
        <v>178</v>
      </c>
      <c r="E71" s="7" t="s">
        <v>179</v>
      </c>
      <c r="F71" s="8" t="s">
        <v>15</v>
      </c>
      <c r="G71" s="9"/>
      <c r="H71" s="10"/>
      <c r="I71" s="6"/>
    </row>
    <row r="72" customFormat="false" ht="43.5" hidden="false" customHeight="true" outlineLevel="0" collapsed="false">
      <c r="A72" s="11" t="s">
        <v>163</v>
      </c>
      <c r="B72" s="12" t="s">
        <v>175</v>
      </c>
      <c r="C72" s="5" t="s">
        <v>12</v>
      </c>
      <c r="D72" s="13" t="s">
        <v>180</v>
      </c>
      <c r="E72" s="14" t="s">
        <v>181</v>
      </c>
      <c r="F72" s="8" t="s">
        <v>15</v>
      </c>
      <c r="G72" s="15"/>
      <c r="H72" s="16"/>
      <c r="I72" s="13"/>
    </row>
    <row r="73" customFormat="false" ht="43.5" hidden="false" customHeight="true" outlineLevel="0" collapsed="false">
      <c r="A73" s="3" t="s">
        <v>163</v>
      </c>
      <c r="B73" s="4" t="s">
        <v>175</v>
      </c>
      <c r="C73" s="17" t="s">
        <v>40</v>
      </c>
      <c r="D73" s="6" t="s">
        <v>182</v>
      </c>
      <c r="E73" s="7" t="s">
        <v>183</v>
      </c>
      <c r="F73" s="8" t="s">
        <v>15</v>
      </c>
      <c r="G73" s="9"/>
      <c r="H73" s="10"/>
      <c r="I73" s="6"/>
    </row>
    <row r="74" customFormat="false" ht="43.5" hidden="false" customHeight="true" outlineLevel="0" collapsed="false">
      <c r="A74" s="11" t="s">
        <v>163</v>
      </c>
      <c r="B74" s="12" t="s">
        <v>184</v>
      </c>
      <c r="C74" s="5" t="s">
        <v>12</v>
      </c>
      <c r="D74" s="13" t="s">
        <v>185</v>
      </c>
      <c r="E74" s="14" t="s">
        <v>186</v>
      </c>
      <c r="F74" s="8" t="s">
        <v>15</v>
      </c>
      <c r="G74" s="15"/>
      <c r="H74" s="16"/>
      <c r="I74" s="13"/>
    </row>
    <row r="75" customFormat="false" ht="43.5" hidden="false" customHeight="true" outlineLevel="0" collapsed="false">
      <c r="A75" s="3" t="s">
        <v>187</v>
      </c>
      <c r="B75" s="4" t="s">
        <v>188</v>
      </c>
      <c r="C75" s="8" t="s">
        <v>26</v>
      </c>
      <c r="D75" s="6" t="s">
        <v>189</v>
      </c>
      <c r="E75" s="7" t="s">
        <v>190</v>
      </c>
      <c r="F75" s="8" t="s">
        <v>15</v>
      </c>
      <c r="G75" s="9"/>
      <c r="H75" s="10"/>
      <c r="I75" s="6"/>
    </row>
    <row r="76" customFormat="false" ht="43.5" hidden="false" customHeight="true" outlineLevel="0" collapsed="false">
      <c r="A76" s="11" t="s">
        <v>187</v>
      </c>
      <c r="B76" s="12" t="s">
        <v>188</v>
      </c>
      <c r="C76" s="8" t="s">
        <v>26</v>
      </c>
      <c r="D76" s="13" t="s">
        <v>191</v>
      </c>
      <c r="E76" s="14" t="s">
        <v>192</v>
      </c>
      <c r="F76" s="8" t="s">
        <v>15</v>
      </c>
      <c r="G76" s="15"/>
      <c r="H76" s="16"/>
      <c r="I76" s="13"/>
    </row>
    <row r="77" customFormat="false" ht="43.5" hidden="false" customHeight="true" outlineLevel="0" collapsed="false">
      <c r="A77" s="3" t="s">
        <v>187</v>
      </c>
      <c r="B77" s="4" t="s">
        <v>188</v>
      </c>
      <c r="C77" s="5" t="s">
        <v>12</v>
      </c>
      <c r="D77" s="6" t="s">
        <v>193</v>
      </c>
      <c r="E77" s="7" t="s">
        <v>194</v>
      </c>
      <c r="F77" s="8" t="s">
        <v>15</v>
      </c>
      <c r="G77" s="9"/>
      <c r="H77" s="10"/>
      <c r="I77" s="6"/>
    </row>
    <row r="78" customFormat="false" ht="43.5" hidden="false" customHeight="true" outlineLevel="0" collapsed="false">
      <c r="A78" s="11" t="s">
        <v>187</v>
      </c>
      <c r="B78" s="12" t="s">
        <v>188</v>
      </c>
      <c r="C78" s="17" t="s">
        <v>40</v>
      </c>
      <c r="D78" s="13" t="s">
        <v>195</v>
      </c>
      <c r="E78" s="14" t="s">
        <v>196</v>
      </c>
      <c r="F78" s="8" t="s">
        <v>15</v>
      </c>
      <c r="G78" s="15"/>
      <c r="H78" s="16"/>
      <c r="I78" s="13"/>
    </row>
    <row r="79" customFormat="false" ht="43.5" hidden="false" customHeight="true" outlineLevel="0" collapsed="false">
      <c r="A79" s="3" t="s">
        <v>187</v>
      </c>
      <c r="B79" s="4" t="s">
        <v>197</v>
      </c>
      <c r="C79" s="8" t="s">
        <v>26</v>
      </c>
      <c r="D79" s="6" t="s">
        <v>198</v>
      </c>
      <c r="E79" s="7" t="s">
        <v>199</v>
      </c>
      <c r="F79" s="8" t="s">
        <v>15</v>
      </c>
      <c r="G79" s="9"/>
      <c r="H79" s="10"/>
      <c r="I79" s="6"/>
    </row>
    <row r="80" customFormat="false" ht="43.5" hidden="false" customHeight="true" outlineLevel="0" collapsed="false">
      <c r="A80" s="11" t="s">
        <v>187</v>
      </c>
      <c r="B80" s="12" t="s">
        <v>197</v>
      </c>
      <c r="C80" s="8" t="s">
        <v>26</v>
      </c>
      <c r="D80" s="13" t="s">
        <v>200</v>
      </c>
      <c r="E80" s="14" t="s">
        <v>201</v>
      </c>
      <c r="F80" s="8" t="s">
        <v>15</v>
      </c>
      <c r="G80" s="15"/>
      <c r="H80" s="16"/>
      <c r="I80" s="13"/>
    </row>
    <row r="81" customFormat="false" ht="43.5" hidden="false" customHeight="true" outlineLevel="0" collapsed="false">
      <c r="A81" s="3" t="s">
        <v>187</v>
      </c>
      <c r="B81" s="4" t="s">
        <v>197</v>
      </c>
      <c r="C81" s="5" t="s">
        <v>12</v>
      </c>
      <c r="D81" s="6" t="s">
        <v>202</v>
      </c>
      <c r="E81" s="7" t="s">
        <v>203</v>
      </c>
      <c r="F81" s="8" t="s">
        <v>15</v>
      </c>
      <c r="G81" s="9"/>
      <c r="H81" s="10"/>
      <c r="I81" s="6"/>
    </row>
    <row r="82" customFormat="false" ht="43.5" hidden="false" customHeight="true" outlineLevel="0" collapsed="false">
      <c r="A82" s="11" t="s">
        <v>187</v>
      </c>
      <c r="B82" s="12" t="s">
        <v>197</v>
      </c>
      <c r="C82" s="5" t="s">
        <v>12</v>
      </c>
      <c r="D82" s="13" t="s">
        <v>204</v>
      </c>
      <c r="E82" s="14" t="s">
        <v>205</v>
      </c>
      <c r="F82" s="8" t="s">
        <v>15</v>
      </c>
      <c r="G82" s="15"/>
      <c r="H82" s="16"/>
      <c r="I82" s="13"/>
    </row>
    <row r="83" customFormat="false" ht="43.5" hidden="false" customHeight="true" outlineLevel="0" collapsed="false">
      <c r="A83" s="3" t="s">
        <v>187</v>
      </c>
      <c r="B83" s="4" t="s">
        <v>206</v>
      </c>
      <c r="C83" s="5" t="s">
        <v>12</v>
      </c>
      <c r="D83" s="6" t="s">
        <v>207</v>
      </c>
      <c r="E83" s="7" t="s">
        <v>208</v>
      </c>
      <c r="F83" s="8" t="s">
        <v>15</v>
      </c>
      <c r="G83" s="9"/>
      <c r="H83" s="10"/>
      <c r="I83" s="6"/>
    </row>
    <row r="84" customFormat="false" ht="43.5" hidden="false" customHeight="true" outlineLevel="0" collapsed="false">
      <c r="A84" s="11" t="s">
        <v>209</v>
      </c>
      <c r="B84" s="12" t="s">
        <v>210</v>
      </c>
      <c r="C84" s="5" t="s">
        <v>12</v>
      </c>
      <c r="D84" s="13" t="s">
        <v>211</v>
      </c>
      <c r="E84" s="14" t="s">
        <v>212</v>
      </c>
      <c r="F84" s="8" t="s">
        <v>15</v>
      </c>
      <c r="G84" s="15"/>
      <c r="H84" s="16"/>
      <c r="I84" s="13"/>
    </row>
    <row r="85" customFormat="false" ht="43.5" hidden="false" customHeight="true" outlineLevel="0" collapsed="false">
      <c r="A85" s="3" t="s">
        <v>209</v>
      </c>
      <c r="B85" s="4" t="s">
        <v>210</v>
      </c>
      <c r="C85" s="5" t="s">
        <v>12</v>
      </c>
      <c r="D85" s="6" t="s">
        <v>213</v>
      </c>
      <c r="E85" s="7" t="s">
        <v>214</v>
      </c>
      <c r="F85" s="8" t="s">
        <v>15</v>
      </c>
      <c r="G85" s="9"/>
      <c r="H85" s="10"/>
      <c r="I85" s="6"/>
    </row>
    <row r="86" customFormat="false" ht="43.5" hidden="false" customHeight="true" outlineLevel="0" collapsed="false">
      <c r="A86" s="11" t="s">
        <v>209</v>
      </c>
      <c r="B86" s="12" t="s">
        <v>210</v>
      </c>
      <c r="C86" s="5" t="s">
        <v>12</v>
      </c>
      <c r="D86" s="13" t="s">
        <v>215</v>
      </c>
      <c r="E86" s="14" t="s">
        <v>216</v>
      </c>
      <c r="F86" s="8" t="s">
        <v>15</v>
      </c>
      <c r="G86" s="15"/>
      <c r="H86" s="16"/>
      <c r="I86" s="13"/>
    </row>
    <row r="87" customFormat="false" ht="43.5" hidden="false" customHeight="true" outlineLevel="0" collapsed="false">
      <c r="A87" s="3" t="s">
        <v>209</v>
      </c>
      <c r="B87" s="4" t="s">
        <v>217</v>
      </c>
      <c r="C87" s="5" t="s">
        <v>12</v>
      </c>
      <c r="D87" s="6" t="s">
        <v>218</v>
      </c>
      <c r="E87" s="7" t="s">
        <v>219</v>
      </c>
      <c r="F87" s="8" t="s">
        <v>15</v>
      </c>
      <c r="G87" s="9"/>
      <c r="H87" s="10"/>
      <c r="I87" s="6"/>
    </row>
    <row r="88" customFormat="false" ht="43.5" hidden="false" customHeight="true" outlineLevel="0" collapsed="false">
      <c r="A88" s="11" t="s">
        <v>209</v>
      </c>
      <c r="B88" s="12" t="s">
        <v>217</v>
      </c>
      <c r="C88" s="5" t="s">
        <v>12</v>
      </c>
      <c r="D88" s="13" t="s">
        <v>220</v>
      </c>
      <c r="E88" s="14" t="s">
        <v>221</v>
      </c>
      <c r="F88" s="8" t="s">
        <v>15</v>
      </c>
      <c r="G88" s="15"/>
      <c r="H88" s="16"/>
      <c r="I88" s="13"/>
    </row>
    <row r="89" customFormat="false" ht="43.5" hidden="false" customHeight="true" outlineLevel="0" collapsed="false">
      <c r="A89" s="3" t="s">
        <v>209</v>
      </c>
      <c r="B89" s="4" t="s">
        <v>217</v>
      </c>
      <c r="C89" s="17" t="s">
        <v>40</v>
      </c>
      <c r="D89" s="6" t="s">
        <v>222</v>
      </c>
      <c r="E89" s="7" t="s">
        <v>223</v>
      </c>
      <c r="F89" s="8" t="s">
        <v>15</v>
      </c>
      <c r="G89" s="9"/>
      <c r="H89" s="10"/>
      <c r="I89" s="6"/>
    </row>
    <row r="90" customFormat="false" ht="43.5" hidden="false" customHeight="true" outlineLevel="0" collapsed="false">
      <c r="A90" s="11" t="s">
        <v>209</v>
      </c>
      <c r="B90" s="12" t="s">
        <v>217</v>
      </c>
      <c r="C90" s="17" t="s">
        <v>40</v>
      </c>
      <c r="D90" s="13" t="s">
        <v>224</v>
      </c>
      <c r="E90" s="14" t="s">
        <v>225</v>
      </c>
      <c r="F90" s="8" t="s">
        <v>15</v>
      </c>
      <c r="G90" s="15"/>
      <c r="H90" s="16"/>
      <c r="I90" s="13"/>
    </row>
    <row r="91" customFormat="false" ht="43.5" hidden="false" customHeight="true" outlineLevel="0" collapsed="false">
      <c r="A91" s="3" t="s">
        <v>226</v>
      </c>
      <c r="B91" s="4" t="s">
        <v>227</v>
      </c>
      <c r="C91" s="8" t="s">
        <v>26</v>
      </c>
      <c r="D91" s="6" t="s">
        <v>228</v>
      </c>
      <c r="E91" s="7" t="s">
        <v>229</v>
      </c>
      <c r="F91" s="8" t="s">
        <v>15</v>
      </c>
      <c r="G91" s="9"/>
      <c r="H91" s="10"/>
      <c r="I91" s="6"/>
    </row>
    <row r="92" customFormat="false" ht="43.5" hidden="false" customHeight="true" outlineLevel="0" collapsed="false">
      <c r="A92" s="11" t="s">
        <v>226</v>
      </c>
      <c r="B92" s="12" t="s">
        <v>227</v>
      </c>
      <c r="C92" s="8" t="s">
        <v>26</v>
      </c>
      <c r="D92" s="13" t="s">
        <v>230</v>
      </c>
      <c r="E92" s="14" t="s">
        <v>231</v>
      </c>
      <c r="F92" s="8" t="s">
        <v>15</v>
      </c>
      <c r="G92" s="15"/>
      <c r="H92" s="16"/>
      <c r="I92" s="13"/>
    </row>
    <row r="93" customFormat="false" ht="43.5" hidden="false" customHeight="true" outlineLevel="0" collapsed="false">
      <c r="A93" s="3" t="s">
        <v>226</v>
      </c>
      <c r="B93" s="4" t="s">
        <v>227</v>
      </c>
      <c r="C93" s="8" t="s">
        <v>26</v>
      </c>
      <c r="D93" s="6" t="s">
        <v>232</v>
      </c>
      <c r="E93" s="7" t="s">
        <v>233</v>
      </c>
      <c r="F93" s="8" t="s">
        <v>15</v>
      </c>
      <c r="G93" s="9"/>
      <c r="H93" s="10"/>
      <c r="I93" s="6"/>
    </row>
    <row r="94" customFormat="false" ht="43.5" hidden="false" customHeight="true" outlineLevel="0" collapsed="false">
      <c r="A94" s="11" t="s">
        <v>226</v>
      </c>
      <c r="B94" s="12" t="s">
        <v>227</v>
      </c>
      <c r="C94" s="5" t="s">
        <v>12</v>
      </c>
      <c r="D94" s="13" t="s">
        <v>234</v>
      </c>
      <c r="E94" s="14" t="s">
        <v>235</v>
      </c>
      <c r="F94" s="8" t="s">
        <v>15</v>
      </c>
      <c r="G94" s="15"/>
      <c r="H94" s="16"/>
      <c r="I94" s="13"/>
    </row>
    <row r="95" customFormat="false" ht="43.5" hidden="false" customHeight="true" outlineLevel="0" collapsed="false">
      <c r="A95" s="3" t="s">
        <v>226</v>
      </c>
      <c r="B95" s="4" t="s">
        <v>227</v>
      </c>
      <c r="C95" s="5" t="s">
        <v>12</v>
      </c>
      <c r="D95" s="6" t="s">
        <v>236</v>
      </c>
      <c r="E95" s="7" t="s">
        <v>237</v>
      </c>
      <c r="F95" s="8" t="s">
        <v>15</v>
      </c>
      <c r="G95" s="9"/>
      <c r="H95" s="10"/>
      <c r="I95" s="6"/>
    </row>
    <row r="96" customFormat="false" ht="43.5" hidden="false" customHeight="true" outlineLevel="0" collapsed="false">
      <c r="A96" s="11" t="s">
        <v>226</v>
      </c>
      <c r="B96" s="12" t="s">
        <v>227</v>
      </c>
      <c r="C96" s="5" t="s">
        <v>12</v>
      </c>
      <c r="D96" s="13" t="s">
        <v>238</v>
      </c>
      <c r="E96" s="14" t="s">
        <v>239</v>
      </c>
      <c r="F96" s="8" t="s">
        <v>15</v>
      </c>
      <c r="G96" s="15"/>
      <c r="H96" s="16"/>
      <c r="I96" s="13"/>
    </row>
    <row r="97" customFormat="false" ht="43.5" hidden="false" customHeight="true" outlineLevel="0" collapsed="false">
      <c r="A97" s="3" t="s">
        <v>226</v>
      </c>
      <c r="B97" s="4" t="s">
        <v>227</v>
      </c>
      <c r="C97" s="17" t="s">
        <v>40</v>
      </c>
      <c r="D97" s="6" t="s">
        <v>240</v>
      </c>
      <c r="E97" s="7" t="s">
        <v>241</v>
      </c>
      <c r="F97" s="8" t="s">
        <v>15</v>
      </c>
      <c r="G97" s="9"/>
      <c r="H97" s="10"/>
      <c r="I97" s="6"/>
    </row>
    <row r="98" customFormat="false" ht="43.5" hidden="false" customHeight="true" outlineLevel="0" collapsed="false">
      <c r="A98" s="11" t="s">
        <v>226</v>
      </c>
      <c r="B98" s="12" t="s">
        <v>242</v>
      </c>
      <c r="C98" s="8" t="s">
        <v>26</v>
      </c>
      <c r="D98" s="13" t="s">
        <v>243</v>
      </c>
      <c r="E98" s="14" t="s">
        <v>244</v>
      </c>
      <c r="F98" s="8" t="s">
        <v>15</v>
      </c>
      <c r="G98" s="15"/>
      <c r="H98" s="16"/>
      <c r="I98" s="13"/>
    </row>
    <row r="99" customFormat="false" ht="43.5" hidden="false" customHeight="true" outlineLevel="0" collapsed="false">
      <c r="A99" s="3" t="s">
        <v>226</v>
      </c>
      <c r="B99" s="4" t="s">
        <v>245</v>
      </c>
      <c r="C99" s="8" t="s">
        <v>26</v>
      </c>
      <c r="D99" s="6" t="s">
        <v>246</v>
      </c>
      <c r="E99" s="7" t="s">
        <v>247</v>
      </c>
      <c r="F99" s="8" t="s">
        <v>15</v>
      </c>
      <c r="G99" s="9"/>
      <c r="H99" s="10"/>
      <c r="I99" s="6"/>
    </row>
    <row r="100" customFormat="false" ht="43.5" hidden="false" customHeight="true" outlineLevel="0" collapsed="false">
      <c r="A100" s="11" t="s">
        <v>226</v>
      </c>
      <c r="B100" s="12" t="s">
        <v>248</v>
      </c>
      <c r="C100" s="5" t="s">
        <v>12</v>
      </c>
      <c r="D100" s="13" t="s">
        <v>249</v>
      </c>
      <c r="E100" s="14" t="s">
        <v>250</v>
      </c>
      <c r="F100" s="8" t="s">
        <v>15</v>
      </c>
      <c r="G100" s="15"/>
      <c r="H100" s="16"/>
      <c r="I100" s="13"/>
    </row>
    <row r="101" customFormat="false" ht="43.5" hidden="false" customHeight="true" outlineLevel="0" collapsed="false">
      <c r="A101" s="3" t="s">
        <v>251</v>
      </c>
      <c r="B101" s="4" t="s">
        <v>252</v>
      </c>
      <c r="C101" s="5" t="s">
        <v>12</v>
      </c>
      <c r="D101" s="6" t="s">
        <v>253</v>
      </c>
      <c r="E101" s="7" t="s">
        <v>254</v>
      </c>
      <c r="F101" s="8" t="s">
        <v>15</v>
      </c>
      <c r="G101" s="9"/>
      <c r="H101" s="10"/>
      <c r="I101" s="6"/>
    </row>
    <row r="102" customFormat="false" ht="43.5" hidden="false" customHeight="true" outlineLevel="0" collapsed="false">
      <c r="A102" s="11" t="s">
        <v>251</v>
      </c>
      <c r="B102" s="12" t="s">
        <v>252</v>
      </c>
      <c r="C102" s="5" t="s">
        <v>12</v>
      </c>
      <c r="D102" s="13" t="s">
        <v>255</v>
      </c>
      <c r="E102" s="14" t="s">
        <v>256</v>
      </c>
      <c r="F102" s="8" t="s">
        <v>15</v>
      </c>
      <c r="G102" s="15"/>
      <c r="H102" s="16"/>
      <c r="I102" s="13"/>
    </row>
    <row r="103" customFormat="false" ht="43.5" hidden="false" customHeight="true" outlineLevel="0" collapsed="false">
      <c r="A103" s="3" t="s">
        <v>251</v>
      </c>
      <c r="B103" s="4" t="s">
        <v>252</v>
      </c>
      <c r="C103" s="5" t="s">
        <v>12</v>
      </c>
      <c r="D103" s="6" t="s">
        <v>257</v>
      </c>
      <c r="E103" s="7" t="s">
        <v>258</v>
      </c>
      <c r="F103" s="8" t="s">
        <v>15</v>
      </c>
      <c r="G103" s="9"/>
      <c r="H103" s="10"/>
      <c r="I103" s="6"/>
    </row>
    <row r="104" customFormat="false" ht="43.5" hidden="false" customHeight="true" outlineLevel="0" collapsed="false">
      <c r="A104" s="11" t="s">
        <v>251</v>
      </c>
      <c r="B104" s="12" t="s">
        <v>252</v>
      </c>
      <c r="C104" s="17" t="s">
        <v>40</v>
      </c>
      <c r="D104" s="13" t="s">
        <v>259</v>
      </c>
      <c r="E104" s="14" t="s">
        <v>260</v>
      </c>
      <c r="F104" s="8" t="s">
        <v>15</v>
      </c>
      <c r="G104" s="15"/>
      <c r="H104" s="16"/>
      <c r="I104" s="13"/>
    </row>
    <row r="105" customFormat="false" ht="43.5" hidden="false" customHeight="true" outlineLevel="0" collapsed="false">
      <c r="A105" s="3" t="s">
        <v>251</v>
      </c>
      <c r="B105" s="4" t="s">
        <v>261</v>
      </c>
      <c r="C105" s="5" t="s">
        <v>12</v>
      </c>
      <c r="D105" s="6" t="s">
        <v>262</v>
      </c>
      <c r="E105" s="7" t="s">
        <v>263</v>
      </c>
      <c r="F105" s="8" t="s">
        <v>15</v>
      </c>
      <c r="G105" s="9"/>
      <c r="H105" s="10"/>
      <c r="I105" s="6"/>
    </row>
    <row r="106" customFormat="false" ht="43.5" hidden="false" customHeight="true" outlineLevel="0" collapsed="false">
      <c r="A106" s="11" t="s">
        <v>251</v>
      </c>
      <c r="B106" s="12" t="s">
        <v>261</v>
      </c>
      <c r="C106" s="5" t="s">
        <v>12</v>
      </c>
      <c r="D106" s="13" t="s">
        <v>264</v>
      </c>
      <c r="E106" s="14" t="s">
        <v>265</v>
      </c>
      <c r="F106" s="8" t="s">
        <v>15</v>
      </c>
      <c r="G106" s="15"/>
      <c r="H106" s="16"/>
      <c r="I106" s="13"/>
    </row>
    <row r="107" customFormat="false" ht="43.5" hidden="false" customHeight="true" outlineLevel="0" collapsed="false">
      <c r="A107" s="3" t="s">
        <v>251</v>
      </c>
      <c r="B107" s="4" t="s">
        <v>261</v>
      </c>
      <c r="C107" s="17" t="s">
        <v>40</v>
      </c>
      <c r="D107" s="6" t="s">
        <v>266</v>
      </c>
      <c r="E107" s="7" t="s">
        <v>267</v>
      </c>
      <c r="F107" s="8" t="s">
        <v>15</v>
      </c>
      <c r="G107" s="9"/>
      <c r="H107" s="10"/>
      <c r="I107" s="6"/>
    </row>
    <row r="108" customFormat="false" ht="43.5" hidden="false" customHeight="true" outlineLevel="0" collapsed="false">
      <c r="A108" s="11" t="s">
        <v>251</v>
      </c>
      <c r="B108" s="12" t="s">
        <v>268</v>
      </c>
      <c r="C108" s="8" t="s">
        <v>26</v>
      </c>
      <c r="D108" s="13" t="s">
        <v>269</v>
      </c>
      <c r="E108" s="14" t="s">
        <v>270</v>
      </c>
      <c r="F108" s="8" t="s">
        <v>15</v>
      </c>
      <c r="G108" s="15"/>
      <c r="H108" s="16"/>
      <c r="I108" s="13"/>
    </row>
    <row r="109" customFormat="false" ht="43.5" hidden="false" customHeight="true" outlineLevel="0" collapsed="false">
      <c r="A109" s="3" t="s">
        <v>251</v>
      </c>
      <c r="B109" s="4" t="s">
        <v>268</v>
      </c>
      <c r="C109" s="8" t="s">
        <v>26</v>
      </c>
      <c r="D109" s="6" t="s">
        <v>271</v>
      </c>
      <c r="E109" s="7" t="s">
        <v>272</v>
      </c>
      <c r="F109" s="8" t="s">
        <v>15</v>
      </c>
      <c r="G109" s="9"/>
      <c r="H109" s="10"/>
      <c r="I109" s="6"/>
    </row>
    <row r="110" customFormat="false" ht="43.5" hidden="false" customHeight="true" outlineLevel="0" collapsed="false">
      <c r="A110" s="11" t="s">
        <v>251</v>
      </c>
      <c r="B110" s="12" t="s">
        <v>268</v>
      </c>
      <c r="C110" s="5" t="s">
        <v>12</v>
      </c>
      <c r="D110" s="13" t="s">
        <v>273</v>
      </c>
      <c r="E110" s="14" t="s">
        <v>274</v>
      </c>
      <c r="F110" s="8" t="s">
        <v>15</v>
      </c>
      <c r="G110" s="15"/>
      <c r="H110" s="16"/>
      <c r="I110" s="13"/>
    </row>
    <row r="111" customFormat="false" ht="43.5" hidden="false" customHeight="true" outlineLevel="0" collapsed="false">
      <c r="A111" s="3" t="s">
        <v>251</v>
      </c>
      <c r="B111" s="4" t="s">
        <v>275</v>
      </c>
      <c r="C111" s="8" t="s">
        <v>26</v>
      </c>
      <c r="D111" s="6" t="s">
        <v>276</v>
      </c>
      <c r="E111" s="7" t="s">
        <v>277</v>
      </c>
      <c r="F111" s="8" t="s">
        <v>15</v>
      </c>
      <c r="G111" s="9"/>
      <c r="H111" s="10"/>
      <c r="I111" s="6"/>
    </row>
    <row r="112" customFormat="false" ht="43.5" hidden="false" customHeight="true" outlineLevel="0" collapsed="false">
      <c r="A112" s="11" t="s">
        <v>278</v>
      </c>
      <c r="B112" s="12" t="s">
        <v>279</v>
      </c>
      <c r="C112" s="8" t="s">
        <v>26</v>
      </c>
      <c r="D112" s="13" t="s">
        <v>280</v>
      </c>
      <c r="E112" s="14" t="s">
        <v>281</v>
      </c>
      <c r="F112" s="8" t="s">
        <v>15</v>
      </c>
      <c r="G112" s="15"/>
      <c r="H112" s="16"/>
      <c r="I112" s="13"/>
    </row>
    <row r="113" customFormat="false" ht="43.5" hidden="false" customHeight="true" outlineLevel="0" collapsed="false">
      <c r="A113" s="3" t="s">
        <v>278</v>
      </c>
      <c r="B113" s="4" t="s">
        <v>279</v>
      </c>
      <c r="C113" s="8" t="s">
        <v>26</v>
      </c>
      <c r="D113" s="6" t="s">
        <v>282</v>
      </c>
      <c r="E113" s="7" t="s">
        <v>283</v>
      </c>
      <c r="F113" s="8" t="s">
        <v>15</v>
      </c>
      <c r="G113" s="9"/>
      <c r="H113" s="10"/>
      <c r="I113" s="6"/>
    </row>
    <row r="114" customFormat="false" ht="43.5" hidden="false" customHeight="true" outlineLevel="0" collapsed="false">
      <c r="A114" s="11" t="s">
        <v>278</v>
      </c>
      <c r="B114" s="12" t="s">
        <v>279</v>
      </c>
      <c r="C114" s="5" t="s">
        <v>12</v>
      </c>
      <c r="D114" s="13" t="s">
        <v>284</v>
      </c>
      <c r="E114" s="14" t="s">
        <v>285</v>
      </c>
      <c r="F114" s="8" t="s">
        <v>15</v>
      </c>
      <c r="G114" s="15"/>
      <c r="H114" s="16"/>
      <c r="I114" s="13"/>
    </row>
    <row r="115" customFormat="false" ht="43.5" hidden="false" customHeight="true" outlineLevel="0" collapsed="false">
      <c r="A115" s="3" t="s">
        <v>278</v>
      </c>
      <c r="B115" s="4" t="s">
        <v>286</v>
      </c>
      <c r="C115" s="8" t="s">
        <v>26</v>
      </c>
      <c r="D115" s="6" t="s">
        <v>287</v>
      </c>
      <c r="E115" s="7" t="s">
        <v>288</v>
      </c>
      <c r="F115" s="8" t="s">
        <v>15</v>
      </c>
      <c r="G115" s="9"/>
      <c r="H115" s="10"/>
      <c r="I115" s="6"/>
    </row>
    <row r="116" customFormat="false" ht="43.5" hidden="false" customHeight="true" outlineLevel="0" collapsed="false">
      <c r="A116" s="11" t="s">
        <v>278</v>
      </c>
      <c r="B116" s="12" t="s">
        <v>286</v>
      </c>
      <c r="C116" s="17" t="s">
        <v>40</v>
      </c>
      <c r="D116" s="13" t="s">
        <v>289</v>
      </c>
      <c r="E116" s="14" t="s">
        <v>290</v>
      </c>
      <c r="F116" s="8" t="s">
        <v>15</v>
      </c>
      <c r="G116" s="15"/>
      <c r="H116" s="16"/>
      <c r="I116" s="13"/>
    </row>
    <row r="117" customFormat="false" ht="43.5" hidden="false" customHeight="true" outlineLevel="0" collapsed="false">
      <c r="A117" s="3" t="s">
        <v>291</v>
      </c>
      <c r="B117" s="4" t="s">
        <v>292</v>
      </c>
      <c r="C117" s="18" t="s">
        <v>293</v>
      </c>
      <c r="D117" s="6" t="s">
        <v>294</v>
      </c>
      <c r="E117" s="7" t="s">
        <v>295</v>
      </c>
      <c r="F117" s="8" t="s">
        <v>15</v>
      </c>
      <c r="G117" s="9"/>
      <c r="H117" s="10"/>
      <c r="I117" s="6"/>
    </row>
    <row r="118" customFormat="false" ht="43.5" hidden="false" customHeight="true" outlineLevel="0" collapsed="false">
      <c r="A118" s="11" t="s">
        <v>291</v>
      </c>
      <c r="B118" s="12" t="s">
        <v>296</v>
      </c>
      <c r="C118" s="18" t="s">
        <v>293</v>
      </c>
      <c r="D118" s="13" t="s">
        <v>297</v>
      </c>
      <c r="E118" s="14" t="s">
        <v>298</v>
      </c>
      <c r="F118" s="8" t="s">
        <v>15</v>
      </c>
      <c r="G118" s="15"/>
      <c r="H118" s="16"/>
      <c r="I118" s="13"/>
    </row>
    <row r="119" customFormat="false" ht="43.5" hidden="false" customHeight="true" outlineLevel="0" collapsed="false">
      <c r="A119" s="3" t="s">
        <v>299</v>
      </c>
      <c r="B119" s="4" t="s">
        <v>300</v>
      </c>
      <c r="C119" s="8" t="s">
        <v>26</v>
      </c>
      <c r="D119" s="6" t="s">
        <v>301</v>
      </c>
      <c r="E119" s="7" t="s">
        <v>302</v>
      </c>
      <c r="F119" s="8" t="s">
        <v>15</v>
      </c>
      <c r="G119" s="9"/>
      <c r="H119" s="10"/>
      <c r="I119" s="6"/>
    </row>
    <row r="120" customFormat="false" ht="43.5" hidden="false" customHeight="true" outlineLevel="0" collapsed="false">
      <c r="A120" s="11" t="s">
        <v>299</v>
      </c>
      <c r="B120" s="12" t="s">
        <v>300</v>
      </c>
      <c r="C120" s="8" t="s">
        <v>26</v>
      </c>
      <c r="D120" s="13" t="s">
        <v>303</v>
      </c>
      <c r="E120" s="14" t="s">
        <v>304</v>
      </c>
      <c r="F120" s="8" t="s">
        <v>15</v>
      </c>
      <c r="G120" s="15"/>
      <c r="H120" s="16"/>
      <c r="I120" s="13"/>
    </row>
    <row r="121" customFormat="false" ht="43.5" hidden="false" customHeight="true" outlineLevel="0" collapsed="false">
      <c r="A121" s="3" t="s">
        <v>299</v>
      </c>
      <c r="B121" s="4" t="s">
        <v>300</v>
      </c>
      <c r="C121" s="5" t="s">
        <v>12</v>
      </c>
      <c r="D121" s="6" t="s">
        <v>305</v>
      </c>
      <c r="E121" s="7" t="s">
        <v>306</v>
      </c>
      <c r="F121" s="8" t="s">
        <v>15</v>
      </c>
      <c r="G121" s="9"/>
      <c r="H121" s="10"/>
      <c r="I121" s="6"/>
    </row>
    <row r="122" customFormat="false" ht="43.5" hidden="false" customHeight="true" outlineLevel="0" collapsed="false">
      <c r="A122" s="11" t="s">
        <v>299</v>
      </c>
      <c r="B122" s="12" t="s">
        <v>300</v>
      </c>
      <c r="C122" s="17" t="s">
        <v>40</v>
      </c>
      <c r="D122" s="13" t="s">
        <v>307</v>
      </c>
      <c r="E122" s="14" t="s">
        <v>308</v>
      </c>
      <c r="F122" s="8" t="s">
        <v>15</v>
      </c>
      <c r="G122" s="15"/>
      <c r="H122" s="16"/>
      <c r="I122" s="13"/>
    </row>
    <row r="123" customFormat="false" ht="43.5" hidden="false" customHeight="true" outlineLevel="0" collapsed="false">
      <c r="A123" s="3" t="s">
        <v>299</v>
      </c>
      <c r="B123" s="4" t="s">
        <v>300</v>
      </c>
      <c r="C123" s="17" t="s">
        <v>40</v>
      </c>
      <c r="D123" s="6" t="s">
        <v>309</v>
      </c>
      <c r="E123" s="7" t="s">
        <v>310</v>
      </c>
      <c r="F123" s="8" t="s">
        <v>15</v>
      </c>
      <c r="G123" s="9"/>
      <c r="H123" s="10"/>
      <c r="I123" s="6"/>
    </row>
    <row r="124" customFormat="false" ht="43.5" hidden="false" customHeight="true" outlineLevel="0" collapsed="false">
      <c r="A124" s="11" t="s">
        <v>299</v>
      </c>
      <c r="B124" s="12" t="s">
        <v>311</v>
      </c>
      <c r="C124" s="5" t="s">
        <v>12</v>
      </c>
      <c r="D124" s="13" t="s">
        <v>312</v>
      </c>
      <c r="E124" s="14" t="s">
        <v>313</v>
      </c>
      <c r="F124" s="8" t="s">
        <v>15</v>
      </c>
      <c r="G124" s="15"/>
      <c r="H124" s="16"/>
      <c r="I124" s="13"/>
    </row>
    <row r="125" customFormat="false" ht="43.5" hidden="false" customHeight="true" outlineLevel="0" collapsed="false">
      <c r="A125" s="3" t="s">
        <v>299</v>
      </c>
      <c r="B125" s="4" t="s">
        <v>311</v>
      </c>
      <c r="C125" s="5" t="s">
        <v>12</v>
      </c>
      <c r="D125" s="6" t="s">
        <v>314</v>
      </c>
      <c r="E125" s="7" t="s">
        <v>315</v>
      </c>
      <c r="F125" s="8" t="s">
        <v>15</v>
      </c>
      <c r="G125" s="9"/>
      <c r="H125" s="10"/>
      <c r="I125" s="6"/>
    </row>
    <row r="126" customFormat="false" ht="43.5" hidden="false" customHeight="true" outlineLevel="0" collapsed="false">
      <c r="A126" s="11" t="s">
        <v>299</v>
      </c>
      <c r="B126" s="12" t="s">
        <v>311</v>
      </c>
      <c r="C126" s="5" t="s">
        <v>12</v>
      </c>
      <c r="D126" s="13" t="s">
        <v>316</v>
      </c>
      <c r="E126" s="14" t="s">
        <v>317</v>
      </c>
      <c r="F126" s="8" t="s">
        <v>15</v>
      </c>
      <c r="G126" s="15"/>
      <c r="H126" s="16"/>
      <c r="I126" s="13"/>
    </row>
    <row r="127" customFormat="false" ht="43.5" hidden="false" customHeight="true" outlineLevel="0" collapsed="false">
      <c r="A127" s="3" t="s">
        <v>299</v>
      </c>
      <c r="B127" s="4" t="s">
        <v>311</v>
      </c>
      <c r="C127" s="17" t="s">
        <v>40</v>
      </c>
      <c r="D127" s="6" t="s">
        <v>318</v>
      </c>
      <c r="E127" s="7" t="s">
        <v>319</v>
      </c>
      <c r="F127" s="8" t="s">
        <v>15</v>
      </c>
      <c r="G127" s="9"/>
      <c r="H127" s="10"/>
      <c r="I127" s="6"/>
    </row>
    <row r="128" customFormat="false" ht="43.5" hidden="false" customHeight="true" outlineLevel="0" collapsed="false">
      <c r="A128" s="11" t="s">
        <v>299</v>
      </c>
      <c r="B128" s="12" t="s">
        <v>320</v>
      </c>
      <c r="C128" s="8" t="s">
        <v>26</v>
      </c>
      <c r="D128" s="13" t="s">
        <v>321</v>
      </c>
      <c r="E128" s="14" t="s">
        <v>322</v>
      </c>
      <c r="F128" s="8" t="s">
        <v>15</v>
      </c>
      <c r="G128" s="15"/>
      <c r="H128" s="16"/>
      <c r="I128" s="13"/>
    </row>
    <row r="129" customFormat="false" ht="43.5" hidden="false" customHeight="true" outlineLevel="0" collapsed="false">
      <c r="A129" s="3" t="s">
        <v>299</v>
      </c>
      <c r="B129" s="4" t="s">
        <v>320</v>
      </c>
      <c r="C129" s="8" t="s">
        <v>26</v>
      </c>
      <c r="D129" s="6" t="s">
        <v>323</v>
      </c>
      <c r="E129" s="7" t="s">
        <v>324</v>
      </c>
      <c r="F129" s="8" t="s">
        <v>15</v>
      </c>
      <c r="G129" s="9"/>
      <c r="H129" s="10"/>
      <c r="I129" s="6"/>
    </row>
    <row r="130" customFormat="false" ht="43.5" hidden="false" customHeight="true" outlineLevel="0" collapsed="false">
      <c r="A130" s="11" t="s">
        <v>299</v>
      </c>
      <c r="B130" s="12" t="s">
        <v>320</v>
      </c>
      <c r="C130" s="5" t="s">
        <v>12</v>
      </c>
      <c r="D130" s="13" t="s">
        <v>325</v>
      </c>
      <c r="E130" s="14" t="s">
        <v>326</v>
      </c>
      <c r="F130" s="8" t="s">
        <v>15</v>
      </c>
      <c r="G130" s="15"/>
      <c r="H130" s="16"/>
      <c r="I130" s="13"/>
    </row>
    <row r="131" customFormat="false" ht="43.5" hidden="false" customHeight="true" outlineLevel="0" collapsed="false">
      <c r="A131" s="3" t="s">
        <v>299</v>
      </c>
      <c r="B131" s="4" t="s">
        <v>320</v>
      </c>
      <c r="C131" s="5" t="s">
        <v>12</v>
      </c>
      <c r="D131" s="6" t="s">
        <v>327</v>
      </c>
      <c r="E131" s="7" t="s">
        <v>328</v>
      </c>
      <c r="F131" s="8" t="s">
        <v>15</v>
      </c>
      <c r="G131" s="9"/>
      <c r="H131" s="10"/>
      <c r="I131" s="6"/>
    </row>
    <row r="132" customFormat="false" ht="43.5" hidden="false" customHeight="true" outlineLevel="0" collapsed="false">
      <c r="A132" s="11" t="s">
        <v>299</v>
      </c>
      <c r="B132" s="12" t="s">
        <v>320</v>
      </c>
      <c r="C132" s="17" t="s">
        <v>40</v>
      </c>
      <c r="D132" s="13" t="s">
        <v>329</v>
      </c>
      <c r="E132" s="14" t="s">
        <v>330</v>
      </c>
      <c r="F132" s="8" t="s">
        <v>15</v>
      </c>
      <c r="G132" s="15"/>
      <c r="H132" s="16"/>
      <c r="I132" s="13"/>
    </row>
    <row r="133" customFormat="false" ht="43.5" hidden="false" customHeight="true" outlineLevel="0" collapsed="false">
      <c r="A133" s="3" t="s">
        <v>331</v>
      </c>
      <c r="B133" s="4" t="s">
        <v>332</v>
      </c>
      <c r="C133" s="8" t="s">
        <v>26</v>
      </c>
      <c r="D133" s="6" t="s">
        <v>333</v>
      </c>
      <c r="E133" s="7" t="s">
        <v>334</v>
      </c>
      <c r="F133" s="8" t="s">
        <v>15</v>
      </c>
      <c r="G133" s="9"/>
      <c r="H133" s="10"/>
      <c r="I133" s="6"/>
    </row>
    <row r="134" customFormat="false" ht="43.5" hidden="false" customHeight="true" outlineLevel="0" collapsed="false">
      <c r="A134" s="11" t="s">
        <v>331</v>
      </c>
      <c r="B134" s="12" t="s">
        <v>332</v>
      </c>
      <c r="C134" s="5" t="s">
        <v>12</v>
      </c>
      <c r="D134" s="13" t="s">
        <v>335</v>
      </c>
      <c r="E134" s="14" t="s">
        <v>336</v>
      </c>
      <c r="F134" s="8" t="s">
        <v>15</v>
      </c>
      <c r="G134" s="15"/>
      <c r="H134" s="16"/>
      <c r="I134" s="13"/>
    </row>
    <row r="135" customFormat="false" ht="43.5" hidden="false" customHeight="true" outlineLevel="0" collapsed="false">
      <c r="A135" s="3" t="s">
        <v>331</v>
      </c>
      <c r="B135" s="4" t="s">
        <v>332</v>
      </c>
      <c r="C135" s="5" t="s">
        <v>12</v>
      </c>
      <c r="D135" s="6" t="s">
        <v>337</v>
      </c>
      <c r="E135" s="7" t="s">
        <v>338</v>
      </c>
      <c r="F135" s="8" t="s">
        <v>15</v>
      </c>
      <c r="G135" s="9"/>
      <c r="H135" s="10"/>
      <c r="I135" s="6"/>
    </row>
    <row r="136" customFormat="false" ht="43.5" hidden="false" customHeight="true" outlineLevel="0" collapsed="false">
      <c r="A136" s="11" t="s">
        <v>331</v>
      </c>
      <c r="B136" s="12" t="s">
        <v>332</v>
      </c>
      <c r="C136" s="17" t="s">
        <v>40</v>
      </c>
      <c r="D136" s="13" t="s">
        <v>339</v>
      </c>
      <c r="E136" s="14" t="s">
        <v>340</v>
      </c>
      <c r="F136" s="8" t="s">
        <v>15</v>
      </c>
      <c r="G136" s="15"/>
      <c r="H136" s="16"/>
      <c r="I136" s="13"/>
    </row>
    <row r="137" customFormat="false" ht="43.5" hidden="false" customHeight="true" outlineLevel="0" collapsed="false">
      <c r="A137" s="3" t="s">
        <v>341</v>
      </c>
      <c r="B137" s="4" t="s">
        <v>342</v>
      </c>
      <c r="C137" s="5" t="s">
        <v>12</v>
      </c>
      <c r="D137" s="6" t="s">
        <v>343</v>
      </c>
      <c r="E137" s="7" t="s">
        <v>344</v>
      </c>
      <c r="F137" s="8" t="s">
        <v>15</v>
      </c>
      <c r="G137" s="9"/>
      <c r="H137" s="10"/>
      <c r="I137" s="6"/>
    </row>
    <row r="138" customFormat="false" ht="43.5" hidden="false" customHeight="true" outlineLevel="0" collapsed="false">
      <c r="A138" s="11" t="s">
        <v>341</v>
      </c>
      <c r="B138" s="12" t="s">
        <v>345</v>
      </c>
      <c r="C138" s="5" t="s">
        <v>12</v>
      </c>
      <c r="D138" s="13" t="s">
        <v>346</v>
      </c>
      <c r="E138" s="14" t="s">
        <v>347</v>
      </c>
      <c r="F138" s="8" t="s">
        <v>15</v>
      </c>
      <c r="G138" s="15"/>
      <c r="H138" s="16"/>
      <c r="I138" s="13"/>
    </row>
    <row r="139" customFormat="false" ht="43.5" hidden="false" customHeight="true" outlineLevel="0" collapsed="false">
      <c r="A139" s="3" t="s">
        <v>341</v>
      </c>
      <c r="B139" s="4" t="s">
        <v>348</v>
      </c>
      <c r="C139" s="5" t="s">
        <v>12</v>
      </c>
      <c r="D139" s="6" t="s">
        <v>349</v>
      </c>
      <c r="E139" s="7" t="s">
        <v>350</v>
      </c>
      <c r="F139" s="8" t="s">
        <v>15</v>
      </c>
      <c r="G139" s="9"/>
      <c r="H139" s="10"/>
      <c r="I139" s="6"/>
    </row>
    <row r="140" customFormat="false" ht="43.5" hidden="false" customHeight="true" outlineLevel="0" collapsed="false">
      <c r="A140" s="11" t="s">
        <v>341</v>
      </c>
      <c r="B140" s="12" t="s">
        <v>351</v>
      </c>
      <c r="C140" s="5" t="s">
        <v>12</v>
      </c>
      <c r="D140" s="13" t="s">
        <v>352</v>
      </c>
      <c r="E140" s="14" t="s">
        <v>353</v>
      </c>
      <c r="F140" s="8" t="s">
        <v>15</v>
      </c>
      <c r="G140" s="15"/>
      <c r="H140" s="16"/>
      <c r="I140" s="13"/>
    </row>
    <row r="141" customFormat="false" ht="43.5" hidden="false" customHeight="true" outlineLevel="0" collapsed="false">
      <c r="A141" s="3" t="s">
        <v>341</v>
      </c>
      <c r="B141" s="4" t="s">
        <v>354</v>
      </c>
      <c r="C141" s="5" t="s">
        <v>12</v>
      </c>
      <c r="D141" s="6" t="s">
        <v>355</v>
      </c>
      <c r="E141" s="7" t="s">
        <v>356</v>
      </c>
      <c r="F141" s="8" t="s">
        <v>15</v>
      </c>
      <c r="G141" s="9"/>
      <c r="H141" s="10"/>
      <c r="I141" s="6"/>
    </row>
    <row r="142" customFormat="false" ht="43.5" hidden="false" customHeight="true" outlineLevel="0" collapsed="false">
      <c r="A142" s="11" t="s">
        <v>357</v>
      </c>
      <c r="B142" s="12" t="s">
        <v>358</v>
      </c>
      <c r="C142" s="8" t="s">
        <v>26</v>
      </c>
      <c r="D142" s="13" t="s">
        <v>359</v>
      </c>
      <c r="E142" s="14" t="s">
        <v>360</v>
      </c>
      <c r="F142" s="8" t="s">
        <v>15</v>
      </c>
      <c r="G142" s="15"/>
      <c r="H142" s="16"/>
      <c r="I142" s="13"/>
    </row>
    <row r="143" customFormat="false" ht="43.5" hidden="false" customHeight="true" outlineLevel="0" collapsed="false">
      <c r="A143" s="3" t="s">
        <v>357</v>
      </c>
      <c r="B143" s="4" t="s">
        <v>358</v>
      </c>
      <c r="C143" s="8" t="s">
        <v>26</v>
      </c>
      <c r="D143" s="6" t="s">
        <v>361</v>
      </c>
      <c r="E143" s="7" t="s">
        <v>362</v>
      </c>
      <c r="F143" s="8" t="s">
        <v>15</v>
      </c>
      <c r="G143" s="9"/>
      <c r="H143" s="10"/>
      <c r="I143" s="6"/>
    </row>
    <row r="144" customFormat="false" ht="43.5" hidden="false" customHeight="true" outlineLevel="0" collapsed="false">
      <c r="A144" s="11" t="s">
        <v>357</v>
      </c>
      <c r="B144" s="12" t="s">
        <v>358</v>
      </c>
      <c r="C144" s="8" t="s">
        <v>26</v>
      </c>
      <c r="D144" s="13" t="s">
        <v>363</v>
      </c>
      <c r="E144" s="14" t="s">
        <v>364</v>
      </c>
      <c r="F144" s="8" t="s">
        <v>15</v>
      </c>
      <c r="G144" s="15"/>
      <c r="H144" s="16"/>
      <c r="I144" s="13"/>
    </row>
    <row r="145" customFormat="false" ht="43.5" hidden="false" customHeight="true" outlineLevel="0" collapsed="false">
      <c r="A145" s="3" t="s">
        <v>357</v>
      </c>
      <c r="B145" s="4" t="s">
        <v>358</v>
      </c>
      <c r="C145" s="5" t="s">
        <v>12</v>
      </c>
      <c r="D145" s="6" t="s">
        <v>365</v>
      </c>
      <c r="E145" s="7" t="s">
        <v>366</v>
      </c>
      <c r="F145" s="8" t="s">
        <v>15</v>
      </c>
      <c r="G145" s="9"/>
      <c r="H145" s="10"/>
      <c r="I145" s="6"/>
    </row>
    <row r="146" customFormat="false" ht="43.5" hidden="false" customHeight="true" outlineLevel="0" collapsed="false">
      <c r="A146" s="11" t="s">
        <v>357</v>
      </c>
      <c r="B146" s="12" t="s">
        <v>358</v>
      </c>
      <c r="C146" s="5" t="s">
        <v>12</v>
      </c>
      <c r="D146" s="13" t="s">
        <v>367</v>
      </c>
      <c r="E146" s="14" t="s">
        <v>368</v>
      </c>
      <c r="F146" s="8" t="s">
        <v>15</v>
      </c>
      <c r="G146" s="15"/>
      <c r="H146" s="16"/>
      <c r="I146" s="13"/>
    </row>
    <row r="147" customFormat="false" ht="43.5" hidden="false" customHeight="true" outlineLevel="0" collapsed="false">
      <c r="A147" s="3" t="s">
        <v>357</v>
      </c>
      <c r="B147" s="4" t="s">
        <v>358</v>
      </c>
      <c r="C147" s="5" t="s">
        <v>12</v>
      </c>
      <c r="D147" s="6" t="s">
        <v>369</v>
      </c>
      <c r="E147" s="7" t="s">
        <v>370</v>
      </c>
      <c r="F147" s="8" t="s">
        <v>15</v>
      </c>
      <c r="G147" s="9"/>
      <c r="H147" s="10"/>
      <c r="I147" s="6"/>
    </row>
    <row r="148" customFormat="false" ht="43.5" hidden="false" customHeight="true" outlineLevel="0" collapsed="false">
      <c r="A148" s="11" t="s">
        <v>357</v>
      </c>
      <c r="B148" s="12" t="s">
        <v>358</v>
      </c>
      <c r="C148" s="5" t="s">
        <v>12</v>
      </c>
      <c r="D148" s="13" t="s">
        <v>137</v>
      </c>
      <c r="E148" s="14" t="s">
        <v>371</v>
      </c>
      <c r="F148" s="8" t="s">
        <v>15</v>
      </c>
      <c r="G148" s="15"/>
      <c r="H148" s="16"/>
      <c r="I148" s="13"/>
    </row>
    <row r="149" customFormat="false" ht="43.5" hidden="false" customHeight="true" outlineLevel="0" collapsed="false">
      <c r="A149" s="3" t="s">
        <v>357</v>
      </c>
      <c r="B149" s="4" t="s">
        <v>358</v>
      </c>
      <c r="C149" s="5" t="s">
        <v>12</v>
      </c>
      <c r="D149" s="6" t="s">
        <v>135</v>
      </c>
      <c r="E149" s="7" t="s">
        <v>372</v>
      </c>
      <c r="F149" s="8" t="s">
        <v>15</v>
      </c>
      <c r="G149" s="9"/>
      <c r="H149" s="10"/>
      <c r="I149" s="6"/>
    </row>
    <row r="150" customFormat="false" ht="43.5" hidden="false" customHeight="true" outlineLevel="0" collapsed="false">
      <c r="A150" s="11" t="s">
        <v>357</v>
      </c>
      <c r="B150" s="12" t="s">
        <v>358</v>
      </c>
      <c r="C150" s="5" t="s">
        <v>12</v>
      </c>
      <c r="D150" s="13" t="s">
        <v>373</v>
      </c>
      <c r="E150" s="14" t="s">
        <v>374</v>
      </c>
      <c r="F150" s="8" t="s">
        <v>15</v>
      </c>
      <c r="G150" s="15"/>
      <c r="H150" s="16"/>
      <c r="I150" s="13"/>
    </row>
    <row r="151" customFormat="false" ht="43.5" hidden="false" customHeight="true" outlineLevel="0" collapsed="false">
      <c r="A151" s="3" t="s">
        <v>357</v>
      </c>
      <c r="B151" s="4" t="s">
        <v>358</v>
      </c>
      <c r="C151" s="5" t="s">
        <v>12</v>
      </c>
      <c r="D151" s="6" t="s">
        <v>375</v>
      </c>
      <c r="E151" s="7" t="s">
        <v>376</v>
      </c>
      <c r="F151" s="8" t="s">
        <v>15</v>
      </c>
      <c r="G151" s="9"/>
      <c r="H151" s="10"/>
      <c r="I151" s="6"/>
    </row>
    <row r="152" customFormat="false" ht="43.5" hidden="false" customHeight="true" outlineLevel="0" collapsed="false">
      <c r="A152" s="11" t="s">
        <v>357</v>
      </c>
      <c r="B152" s="12" t="s">
        <v>358</v>
      </c>
      <c r="C152" s="5" t="s">
        <v>12</v>
      </c>
      <c r="D152" s="13" t="s">
        <v>377</v>
      </c>
      <c r="E152" s="14" t="s">
        <v>378</v>
      </c>
      <c r="F152" s="8" t="s">
        <v>15</v>
      </c>
      <c r="G152" s="15"/>
      <c r="H152" s="16"/>
      <c r="I152" s="13"/>
    </row>
    <row r="153" customFormat="false" ht="43.5" hidden="false" customHeight="true" outlineLevel="0" collapsed="false">
      <c r="A153" s="3" t="s">
        <v>357</v>
      </c>
      <c r="B153" s="4" t="s">
        <v>358</v>
      </c>
      <c r="C153" s="17" t="s">
        <v>40</v>
      </c>
      <c r="D153" s="6" t="s">
        <v>379</v>
      </c>
      <c r="E153" s="7" t="s">
        <v>380</v>
      </c>
      <c r="F153" s="8" t="s">
        <v>15</v>
      </c>
      <c r="G153" s="9"/>
      <c r="H153" s="10"/>
      <c r="I153" s="6"/>
    </row>
    <row r="154" customFormat="false" ht="43.5" hidden="false" customHeight="true" outlineLevel="0" collapsed="false">
      <c r="A154" s="11" t="s">
        <v>357</v>
      </c>
      <c r="B154" s="12" t="s">
        <v>358</v>
      </c>
      <c r="C154" s="17" t="s">
        <v>40</v>
      </c>
      <c r="D154" s="13" t="s">
        <v>381</v>
      </c>
      <c r="E154" s="14" t="s">
        <v>382</v>
      </c>
      <c r="F154" s="8" t="s">
        <v>15</v>
      </c>
      <c r="G154" s="15"/>
      <c r="H154" s="16"/>
      <c r="I154" s="13"/>
    </row>
    <row r="155" customFormat="false" ht="43.5" hidden="false" customHeight="true" outlineLevel="0" collapsed="false">
      <c r="A155" s="3" t="s">
        <v>357</v>
      </c>
      <c r="B155" s="4" t="s">
        <v>358</v>
      </c>
      <c r="C155" s="17" t="s">
        <v>40</v>
      </c>
      <c r="D155" s="6" t="s">
        <v>383</v>
      </c>
      <c r="E155" s="7" t="s">
        <v>384</v>
      </c>
      <c r="F155" s="8" t="s">
        <v>15</v>
      </c>
      <c r="G155" s="9"/>
      <c r="H155" s="10"/>
      <c r="I155" s="6"/>
    </row>
  </sheetData>
  <mergeCells count="1">
    <mergeCell ref="A1:I1"/>
  </mergeCells>
  <conditionalFormatting sqref="F3:F155">
    <cfRule type="expression" priority="2" aboveAverage="0" equalAverage="0" bottom="0" percent="0" rank="0" text="" dxfId="0">
      <formula>$F3="Resolved"</formula>
    </cfRule>
    <cfRule type="expression" priority="3" aboveAverage="0" equalAverage="0" bottom="0" percent="0" rank="0" text="" dxfId="1">
      <formula>$F3="In Progress"</formula>
    </cfRule>
    <cfRule type="expression" priority="4" aboveAverage="0" equalAverage="0" bottom="0" percent="0" rank="0" text="" dxfId="2">
      <formula>$F3="Not Started"</formula>
    </cfRule>
    <cfRule type="expression" priority="5" aboveAverage="0" equalAverage="0" bottom="0" percent="0" rank="0" text="" dxfId="3">
      <formula>$F3="Blocked"</formula>
    </cfRule>
    <cfRule type="expression" priority="6" aboveAverage="0" equalAverage="0" bottom="0" percent="0" rank="0" text="" dxfId="4">
      <formula>$F3="Skipped"</formula>
    </cfRule>
  </conditionalFormatting>
  <dataValidations count="1">
    <dataValidation allowBlank="true" errorStyle="stop" operator="between" showDropDown="false" showErrorMessage="false" showInputMessage="false" sqref="F3:F155" type="list">
      <formula1>"Not Started,In Progress,Resolved,Blocked,Skipped"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14"/>
  </cols>
  <sheetData>
    <row r="1" customFormat="false" ht="36" hidden="false" customHeight="true" outlineLevel="0" collapsed="false">
      <c r="A1" s="19" t="s">
        <v>385</v>
      </c>
      <c r="B1" s="19"/>
      <c r="C1" s="19"/>
      <c r="D1" s="19"/>
      <c r="E1" s="19"/>
      <c r="F1" s="19"/>
      <c r="G1" s="19"/>
    </row>
    <row r="2" customFormat="false" ht="36" hidden="false" customHeight="true" outlineLevel="0" collapsed="false">
      <c r="A2" s="2" t="s">
        <v>1</v>
      </c>
      <c r="B2" s="2" t="s">
        <v>386</v>
      </c>
      <c r="C2" s="2" t="s">
        <v>387</v>
      </c>
      <c r="D2" s="2" t="s">
        <v>388</v>
      </c>
      <c r="E2" s="2" t="s">
        <v>15</v>
      </c>
      <c r="F2" s="2" t="s">
        <v>389</v>
      </c>
      <c r="G2" s="2" t="s">
        <v>390</v>
      </c>
    </row>
    <row r="3" customFormat="false" ht="27.75" hidden="false" customHeight="true" outlineLevel="0" collapsed="false">
      <c r="A3" s="3" t="s">
        <v>10</v>
      </c>
      <c r="B3" s="9" t="n">
        <v>13</v>
      </c>
      <c r="C3" s="20" t="n">
        <f aca="false">COUNTIFS('Fix Tracker'!$A$3:$A$155,A3,'Fix Tracker'!$F$3:$F$155,"Resolved")</f>
        <v>0</v>
      </c>
      <c r="D3" s="21" t="n">
        <f aca="false">COUNTIFS('Fix Tracker'!$A$3:$A$155,A3,'Fix Tracker'!$F$3:$F$155,"In Progress")</f>
        <v>0</v>
      </c>
      <c r="E3" s="22" t="n">
        <f aca="false">COUNTIFS('Fix Tracker'!$A$3:$A$155,A3,'Fix Tracker'!$F$3:$F$155,"Not Started")</f>
        <v>13</v>
      </c>
      <c r="F3" s="23" t="n">
        <f aca="false">COUNTIFS('Fix Tracker'!$A$3:$A$155,A3,'Fix Tracker'!$F$3:$F$155,"Blocked")</f>
        <v>0</v>
      </c>
      <c r="G3" s="24" t="n">
        <f aca="false">IF(B3=0,0,C3/B3)</f>
        <v>0</v>
      </c>
    </row>
    <row r="4" customFormat="false" ht="27.75" hidden="false" customHeight="true" outlineLevel="0" collapsed="false">
      <c r="A4" s="11" t="s">
        <v>46</v>
      </c>
      <c r="B4" s="15" t="n">
        <v>31</v>
      </c>
      <c r="C4" s="25" t="n">
        <f aca="false">COUNTIFS('Fix Tracker'!$A$3:$A$155,A4,'Fix Tracker'!$F$3:$F$155,"Resolved")</f>
        <v>0</v>
      </c>
      <c r="D4" s="26" t="n">
        <f aca="false">COUNTIFS('Fix Tracker'!$A$3:$A$155,A4,'Fix Tracker'!$F$3:$F$155,"In Progress")</f>
        <v>0</v>
      </c>
      <c r="E4" s="27" t="n">
        <f aca="false">COUNTIFS('Fix Tracker'!$A$3:$A$155,A4,'Fix Tracker'!$F$3:$F$155,"Not Started")</f>
        <v>31</v>
      </c>
      <c r="F4" s="28" t="n">
        <f aca="false">COUNTIFS('Fix Tracker'!$A$3:$A$155,A4,'Fix Tracker'!$F$3:$F$155,"Blocked")</f>
        <v>0</v>
      </c>
      <c r="G4" s="29" t="n">
        <f aca="false">IF(B4=0,0,C4/B4)</f>
        <v>0</v>
      </c>
    </row>
    <row r="5" customFormat="false" ht="27.75" hidden="false" customHeight="true" outlineLevel="0" collapsed="false">
      <c r="A5" s="3" t="s">
        <v>118</v>
      </c>
      <c r="B5" s="9" t="n">
        <v>10</v>
      </c>
      <c r="C5" s="20" t="n">
        <f aca="false">COUNTIFS('Fix Tracker'!$A$3:$A$155,A5,'Fix Tracker'!$F$3:$F$155,"Resolved")</f>
        <v>0</v>
      </c>
      <c r="D5" s="21" t="n">
        <f aca="false">COUNTIFS('Fix Tracker'!$A$3:$A$155,A5,'Fix Tracker'!$F$3:$F$155,"In Progress")</f>
        <v>0</v>
      </c>
      <c r="E5" s="22" t="n">
        <f aca="false">COUNTIFS('Fix Tracker'!$A$3:$A$155,A5,'Fix Tracker'!$F$3:$F$155,"Not Started")</f>
        <v>10</v>
      </c>
      <c r="F5" s="23" t="n">
        <f aca="false">COUNTIFS('Fix Tracker'!$A$3:$A$155,A5,'Fix Tracker'!$F$3:$F$155,"Blocked")</f>
        <v>0</v>
      </c>
      <c r="G5" s="24" t="n">
        <f aca="false">IF(B5=0,0,C5/B5)</f>
        <v>0</v>
      </c>
    </row>
    <row r="6" customFormat="false" ht="27.75" hidden="false" customHeight="true" outlineLevel="0" collapsed="false">
      <c r="A6" s="11" t="s">
        <v>142</v>
      </c>
      <c r="B6" s="15" t="n">
        <v>8</v>
      </c>
      <c r="C6" s="25" t="n">
        <f aca="false">COUNTIFS('Fix Tracker'!$A$3:$A$155,A6,'Fix Tracker'!$F$3:$F$155,"Resolved")</f>
        <v>0</v>
      </c>
      <c r="D6" s="26" t="n">
        <f aca="false">COUNTIFS('Fix Tracker'!$A$3:$A$155,A6,'Fix Tracker'!$F$3:$F$155,"In Progress")</f>
        <v>0</v>
      </c>
      <c r="E6" s="27" t="n">
        <f aca="false">COUNTIFS('Fix Tracker'!$A$3:$A$155,A6,'Fix Tracker'!$F$3:$F$155,"Not Started")</f>
        <v>8</v>
      </c>
      <c r="F6" s="28" t="n">
        <f aca="false">COUNTIFS('Fix Tracker'!$A$3:$A$155,A6,'Fix Tracker'!$F$3:$F$155,"Blocked")</f>
        <v>0</v>
      </c>
      <c r="G6" s="29" t="n">
        <f aca="false">IF(B6=0,0,C6/B6)</f>
        <v>0</v>
      </c>
    </row>
    <row r="7" customFormat="false" ht="27.75" hidden="false" customHeight="true" outlineLevel="0" collapsed="false">
      <c r="A7" s="3" t="s">
        <v>163</v>
      </c>
      <c r="B7" s="9" t="n">
        <v>10</v>
      </c>
      <c r="C7" s="20" t="n">
        <f aca="false">COUNTIFS('Fix Tracker'!$A$3:$A$155,A7,'Fix Tracker'!$F$3:$F$155,"Resolved")</f>
        <v>0</v>
      </c>
      <c r="D7" s="21" t="n">
        <f aca="false">COUNTIFS('Fix Tracker'!$A$3:$A$155,A7,'Fix Tracker'!$F$3:$F$155,"In Progress")</f>
        <v>0</v>
      </c>
      <c r="E7" s="22" t="n">
        <f aca="false">COUNTIFS('Fix Tracker'!$A$3:$A$155,A7,'Fix Tracker'!$F$3:$F$155,"Not Started")</f>
        <v>10</v>
      </c>
      <c r="F7" s="23" t="n">
        <f aca="false">COUNTIFS('Fix Tracker'!$A$3:$A$155,A7,'Fix Tracker'!$F$3:$F$155,"Blocked")</f>
        <v>0</v>
      </c>
      <c r="G7" s="24" t="n">
        <f aca="false">IF(B7=0,0,C7/B7)</f>
        <v>0</v>
      </c>
    </row>
    <row r="8" customFormat="false" ht="27.75" hidden="false" customHeight="true" outlineLevel="0" collapsed="false">
      <c r="A8" s="11" t="s">
        <v>187</v>
      </c>
      <c r="B8" s="15" t="n">
        <v>9</v>
      </c>
      <c r="C8" s="25" t="n">
        <f aca="false">COUNTIFS('Fix Tracker'!$A$3:$A$155,A8,'Fix Tracker'!$F$3:$F$155,"Resolved")</f>
        <v>0</v>
      </c>
      <c r="D8" s="26" t="n">
        <f aca="false">COUNTIFS('Fix Tracker'!$A$3:$A$155,A8,'Fix Tracker'!$F$3:$F$155,"In Progress")</f>
        <v>0</v>
      </c>
      <c r="E8" s="27" t="n">
        <f aca="false">COUNTIFS('Fix Tracker'!$A$3:$A$155,A8,'Fix Tracker'!$F$3:$F$155,"Not Started")</f>
        <v>9</v>
      </c>
      <c r="F8" s="28" t="n">
        <f aca="false">COUNTIFS('Fix Tracker'!$A$3:$A$155,A8,'Fix Tracker'!$F$3:$F$155,"Blocked")</f>
        <v>0</v>
      </c>
      <c r="G8" s="29" t="n">
        <f aca="false">IF(B8=0,0,C8/B8)</f>
        <v>0</v>
      </c>
    </row>
    <row r="9" customFormat="false" ht="27.75" hidden="false" customHeight="true" outlineLevel="0" collapsed="false">
      <c r="A9" s="3" t="s">
        <v>209</v>
      </c>
      <c r="B9" s="9" t="n">
        <v>7</v>
      </c>
      <c r="C9" s="20" t="n">
        <f aca="false">COUNTIFS('Fix Tracker'!$A$3:$A$155,A9,'Fix Tracker'!$F$3:$F$155,"Resolved")</f>
        <v>0</v>
      </c>
      <c r="D9" s="21" t="n">
        <f aca="false">COUNTIFS('Fix Tracker'!$A$3:$A$155,A9,'Fix Tracker'!$F$3:$F$155,"In Progress")</f>
        <v>0</v>
      </c>
      <c r="E9" s="22" t="n">
        <f aca="false">COUNTIFS('Fix Tracker'!$A$3:$A$155,A9,'Fix Tracker'!$F$3:$F$155,"Not Started")</f>
        <v>7</v>
      </c>
      <c r="F9" s="23" t="n">
        <f aca="false">COUNTIFS('Fix Tracker'!$A$3:$A$155,A9,'Fix Tracker'!$F$3:$F$155,"Blocked")</f>
        <v>0</v>
      </c>
      <c r="G9" s="24" t="n">
        <f aca="false">IF(B9=0,0,C9/B9)</f>
        <v>0</v>
      </c>
    </row>
    <row r="10" customFormat="false" ht="27.75" hidden="false" customHeight="true" outlineLevel="0" collapsed="false">
      <c r="A10" s="11" t="s">
        <v>226</v>
      </c>
      <c r="B10" s="15" t="n">
        <v>10</v>
      </c>
      <c r="C10" s="25" t="n">
        <f aca="false">COUNTIFS('Fix Tracker'!$A$3:$A$155,A10,'Fix Tracker'!$F$3:$F$155,"Resolved")</f>
        <v>0</v>
      </c>
      <c r="D10" s="26" t="n">
        <f aca="false">COUNTIFS('Fix Tracker'!$A$3:$A$155,A10,'Fix Tracker'!$F$3:$F$155,"In Progress")</f>
        <v>0</v>
      </c>
      <c r="E10" s="27" t="n">
        <f aca="false">COUNTIFS('Fix Tracker'!$A$3:$A$155,A10,'Fix Tracker'!$F$3:$F$155,"Not Started")</f>
        <v>10</v>
      </c>
      <c r="F10" s="28" t="n">
        <f aca="false">COUNTIFS('Fix Tracker'!$A$3:$A$155,A10,'Fix Tracker'!$F$3:$F$155,"Blocked")</f>
        <v>0</v>
      </c>
      <c r="G10" s="29" t="n">
        <f aca="false">IF(B10=0,0,C10/B10)</f>
        <v>0</v>
      </c>
    </row>
    <row r="11" customFormat="false" ht="27.75" hidden="false" customHeight="true" outlineLevel="0" collapsed="false">
      <c r="A11" s="3" t="s">
        <v>251</v>
      </c>
      <c r="B11" s="9" t="n">
        <v>11</v>
      </c>
      <c r="C11" s="20" t="n">
        <f aca="false">COUNTIFS('Fix Tracker'!$A$3:$A$155,A11,'Fix Tracker'!$F$3:$F$155,"Resolved")</f>
        <v>0</v>
      </c>
      <c r="D11" s="21" t="n">
        <f aca="false">COUNTIFS('Fix Tracker'!$A$3:$A$155,A11,'Fix Tracker'!$F$3:$F$155,"In Progress")</f>
        <v>0</v>
      </c>
      <c r="E11" s="22" t="n">
        <f aca="false">COUNTIFS('Fix Tracker'!$A$3:$A$155,A11,'Fix Tracker'!$F$3:$F$155,"Not Started")</f>
        <v>11</v>
      </c>
      <c r="F11" s="23" t="n">
        <f aca="false">COUNTIFS('Fix Tracker'!$A$3:$A$155,A11,'Fix Tracker'!$F$3:$F$155,"Blocked")</f>
        <v>0</v>
      </c>
      <c r="G11" s="24" t="n">
        <f aca="false">IF(B11=0,0,C11/B11)</f>
        <v>0</v>
      </c>
    </row>
    <row r="12" customFormat="false" ht="27.75" hidden="false" customHeight="true" outlineLevel="0" collapsed="false">
      <c r="A12" s="11" t="s">
        <v>278</v>
      </c>
      <c r="B12" s="15" t="n">
        <v>5</v>
      </c>
      <c r="C12" s="25" t="n">
        <f aca="false">COUNTIFS('Fix Tracker'!$A$3:$A$155,A12,'Fix Tracker'!$F$3:$F$155,"Resolved")</f>
        <v>0</v>
      </c>
      <c r="D12" s="26" t="n">
        <f aca="false">COUNTIFS('Fix Tracker'!$A$3:$A$155,A12,'Fix Tracker'!$F$3:$F$155,"In Progress")</f>
        <v>0</v>
      </c>
      <c r="E12" s="27" t="n">
        <f aca="false">COUNTIFS('Fix Tracker'!$A$3:$A$155,A12,'Fix Tracker'!$F$3:$F$155,"Not Started")</f>
        <v>5</v>
      </c>
      <c r="F12" s="28" t="n">
        <f aca="false">COUNTIFS('Fix Tracker'!$A$3:$A$155,A12,'Fix Tracker'!$F$3:$F$155,"Blocked")</f>
        <v>0</v>
      </c>
      <c r="G12" s="29" t="n">
        <f aca="false">IF(B12=0,0,C12/B12)</f>
        <v>0</v>
      </c>
    </row>
    <row r="13" customFormat="false" ht="27.75" hidden="false" customHeight="true" outlineLevel="0" collapsed="false">
      <c r="A13" s="3" t="s">
        <v>291</v>
      </c>
      <c r="B13" s="9" t="n">
        <v>2</v>
      </c>
      <c r="C13" s="20" t="n">
        <f aca="false">COUNTIFS('Fix Tracker'!$A$3:$A$155,A13,'Fix Tracker'!$F$3:$F$155,"Resolved")</f>
        <v>0</v>
      </c>
      <c r="D13" s="21" t="n">
        <f aca="false">COUNTIFS('Fix Tracker'!$A$3:$A$155,A13,'Fix Tracker'!$F$3:$F$155,"In Progress")</f>
        <v>0</v>
      </c>
      <c r="E13" s="22" t="n">
        <f aca="false">COUNTIFS('Fix Tracker'!$A$3:$A$155,A13,'Fix Tracker'!$F$3:$F$155,"Not Started")</f>
        <v>2</v>
      </c>
      <c r="F13" s="23" t="n">
        <f aca="false">COUNTIFS('Fix Tracker'!$A$3:$A$155,A13,'Fix Tracker'!$F$3:$F$155,"Blocked")</f>
        <v>0</v>
      </c>
      <c r="G13" s="24" t="n">
        <f aca="false">IF(B13=0,0,C13/B13)</f>
        <v>0</v>
      </c>
    </row>
    <row r="14" customFormat="false" ht="27.75" hidden="false" customHeight="true" outlineLevel="0" collapsed="false">
      <c r="A14" s="11" t="s">
        <v>299</v>
      </c>
      <c r="B14" s="15" t="n">
        <v>14</v>
      </c>
      <c r="C14" s="25" t="n">
        <f aca="false">COUNTIFS('Fix Tracker'!$A$3:$A$155,A14,'Fix Tracker'!$F$3:$F$155,"Resolved")</f>
        <v>0</v>
      </c>
      <c r="D14" s="26" t="n">
        <f aca="false">COUNTIFS('Fix Tracker'!$A$3:$A$155,A14,'Fix Tracker'!$F$3:$F$155,"In Progress")</f>
        <v>0</v>
      </c>
      <c r="E14" s="27" t="n">
        <f aca="false">COUNTIFS('Fix Tracker'!$A$3:$A$155,A14,'Fix Tracker'!$F$3:$F$155,"Not Started")</f>
        <v>14</v>
      </c>
      <c r="F14" s="28" t="n">
        <f aca="false">COUNTIFS('Fix Tracker'!$A$3:$A$155,A14,'Fix Tracker'!$F$3:$F$155,"Blocked")</f>
        <v>0</v>
      </c>
      <c r="G14" s="29" t="n">
        <f aca="false">IF(B14=0,0,C14/B14)</f>
        <v>0</v>
      </c>
    </row>
    <row r="15" customFormat="false" ht="27.75" hidden="false" customHeight="true" outlineLevel="0" collapsed="false">
      <c r="A15" s="3" t="s">
        <v>331</v>
      </c>
      <c r="B15" s="9" t="n">
        <v>4</v>
      </c>
      <c r="C15" s="20" t="n">
        <f aca="false">COUNTIFS('Fix Tracker'!$A$3:$A$155,A15,'Fix Tracker'!$F$3:$F$155,"Resolved")</f>
        <v>0</v>
      </c>
      <c r="D15" s="21" t="n">
        <f aca="false">COUNTIFS('Fix Tracker'!$A$3:$A$155,A15,'Fix Tracker'!$F$3:$F$155,"In Progress")</f>
        <v>0</v>
      </c>
      <c r="E15" s="22" t="n">
        <f aca="false">COUNTIFS('Fix Tracker'!$A$3:$A$155,A15,'Fix Tracker'!$F$3:$F$155,"Not Started")</f>
        <v>4</v>
      </c>
      <c r="F15" s="23" t="n">
        <f aca="false">COUNTIFS('Fix Tracker'!$A$3:$A$155,A15,'Fix Tracker'!$F$3:$F$155,"Blocked")</f>
        <v>0</v>
      </c>
      <c r="G15" s="24" t="n">
        <f aca="false">IF(B15=0,0,C15/B15)</f>
        <v>0</v>
      </c>
    </row>
    <row r="16" customFormat="false" ht="27.75" hidden="false" customHeight="true" outlineLevel="0" collapsed="false">
      <c r="A16" s="11" t="s">
        <v>341</v>
      </c>
      <c r="B16" s="15" t="n">
        <v>5</v>
      </c>
      <c r="C16" s="25" t="n">
        <f aca="false">COUNTIFS('Fix Tracker'!$A$3:$A$155,A16,'Fix Tracker'!$F$3:$F$155,"Resolved")</f>
        <v>0</v>
      </c>
      <c r="D16" s="26" t="n">
        <f aca="false">COUNTIFS('Fix Tracker'!$A$3:$A$155,A16,'Fix Tracker'!$F$3:$F$155,"In Progress")</f>
        <v>0</v>
      </c>
      <c r="E16" s="27" t="n">
        <f aca="false">COUNTIFS('Fix Tracker'!$A$3:$A$155,A16,'Fix Tracker'!$F$3:$F$155,"Not Started")</f>
        <v>5</v>
      </c>
      <c r="F16" s="28" t="n">
        <f aca="false">COUNTIFS('Fix Tracker'!$A$3:$A$155,A16,'Fix Tracker'!$F$3:$F$155,"Blocked")</f>
        <v>0</v>
      </c>
      <c r="G16" s="29" t="n">
        <f aca="false">IF(B16=0,0,C16/B16)</f>
        <v>0</v>
      </c>
    </row>
    <row r="17" customFormat="false" ht="27.75" hidden="false" customHeight="true" outlineLevel="0" collapsed="false">
      <c r="A17" s="3" t="s">
        <v>357</v>
      </c>
      <c r="B17" s="9" t="n">
        <v>14</v>
      </c>
      <c r="C17" s="20" t="n">
        <f aca="false">COUNTIFS('Fix Tracker'!$A$3:$A$155,A17,'Fix Tracker'!$F$3:$F$155,"Resolved")</f>
        <v>0</v>
      </c>
      <c r="D17" s="21" t="n">
        <f aca="false">COUNTIFS('Fix Tracker'!$A$3:$A$155,A17,'Fix Tracker'!$F$3:$F$155,"In Progress")</f>
        <v>0</v>
      </c>
      <c r="E17" s="22" t="n">
        <f aca="false">COUNTIFS('Fix Tracker'!$A$3:$A$155,A17,'Fix Tracker'!$F$3:$F$155,"Not Started")</f>
        <v>14</v>
      </c>
      <c r="F17" s="23" t="n">
        <f aca="false">COUNTIFS('Fix Tracker'!$A$3:$A$155,A17,'Fix Tracker'!$F$3:$F$155,"Blocked")</f>
        <v>0</v>
      </c>
      <c r="G17" s="24" t="n">
        <f aca="false">IF(B17=0,0,C17/B17)</f>
        <v>0</v>
      </c>
    </row>
    <row r="18" customFormat="false" ht="31.5" hidden="false" customHeight="true" outlineLevel="0" collapsed="false">
      <c r="A18" s="30" t="s">
        <v>391</v>
      </c>
      <c r="B18" s="30" t="n">
        <f aca="false">SUM(B3:B17)</f>
        <v>153</v>
      </c>
      <c r="C18" s="30" t="n">
        <f aca="false">SUM(C3:C17)</f>
        <v>0</v>
      </c>
      <c r="D18" s="30" t="n">
        <f aca="false">SUM(D3:D17)</f>
        <v>0</v>
      </c>
      <c r="E18" s="30" t="n">
        <f aca="false">SUM(E3:E17)</f>
        <v>153</v>
      </c>
      <c r="F18" s="30" t="n">
        <f aca="false">SUM(F3:F17)</f>
        <v>0</v>
      </c>
      <c r="G18" s="31" t="n">
        <f aca="false">IF(B18=0,0,C18/B18)</f>
        <v>0</v>
      </c>
    </row>
    <row r="20" customFormat="false" ht="15" hidden="false" customHeight="true" outlineLevel="0" collapsed="false">
      <c r="A20" s="32" t="s">
        <v>392</v>
      </c>
      <c r="B20" s="32"/>
      <c r="C20" s="32"/>
      <c r="D20" s="32"/>
      <c r="E20" s="32"/>
      <c r="F20" s="32"/>
      <c r="G20" s="32"/>
    </row>
    <row r="21" customFormat="false" ht="24" hidden="false" customHeight="true" outlineLevel="0" collapsed="false">
      <c r="A21" s="33" t="s">
        <v>387</v>
      </c>
      <c r="B21" s="33"/>
      <c r="C21" s="33"/>
      <c r="D21" s="33"/>
      <c r="E21" s="33"/>
      <c r="F21" s="33"/>
      <c r="G21" s="33"/>
    </row>
    <row r="22" customFormat="false" ht="24" hidden="false" customHeight="true" outlineLevel="0" collapsed="false">
      <c r="A22" s="34" t="s">
        <v>388</v>
      </c>
      <c r="B22" s="34"/>
      <c r="C22" s="34"/>
      <c r="D22" s="34"/>
      <c r="E22" s="34"/>
      <c r="F22" s="34"/>
      <c r="G22" s="34"/>
    </row>
    <row r="23" customFormat="false" ht="24" hidden="false" customHeight="true" outlineLevel="0" collapsed="false">
      <c r="A23" s="35" t="s">
        <v>15</v>
      </c>
      <c r="B23" s="35"/>
      <c r="C23" s="35"/>
      <c r="D23" s="35"/>
      <c r="E23" s="35"/>
      <c r="F23" s="35"/>
      <c r="G23" s="35"/>
    </row>
    <row r="24" customFormat="false" ht="24" hidden="false" customHeight="true" outlineLevel="0" collapsed="false">
      <c r="A24" s="36" t="s">
        <v>389</v>
      </c>
      <c r="B24" s="36"/>
      <c r="C24" s="36"/>
      <c r="D24" s="36"/>
      <c r="E24" s="36"/>
      <c r="F24" s="36"/>
      <c r="G24" s="36"/>
    </row>
    <row r="25" customFormat="false" ht="24" hidden="false" customHeight="true" outlineLevel="0" collapsed="false">
      <c r="A25" s="37" t="s">
        <v>393</v>
      </c>
      <c r="B25" s="37"/>
      <c r="C25" s="37"/>
      <c r="D25" s="37"/>
      <c r="E25" s="37"/>
      <c r="F25" s="37"/>
      <c r="G25" s="37"/>
    </row>
  </sheetData>
  <mergeCells count="7">
    <mergeCell ref="A1:G1"/>
    <mergeCell ref="A20:G20"/>
    <mergeCell ref="A21:G21"/>
    <mergeCell ref="A22:G22"/>
    <mergeCell ref="A23:G23"/>
    <mergeCell ref="A24:G24"/>
    <mergeCell ref="A25:G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55"/>
  </cols>
  <sheetData>
    <row r="1" customFormat="false" ht="36" hidden="false" customHeight="true" outlineLevel="0" collapsed="false">
      <c r="A1" s="19" t="s">
        <v>394</v>
      </c>
      <c r="B1" s="19"/>
      <c r="C1" s="19"/>
      <c r="D1" s="19"/>
      <c r="E1" s="19"/>
      <c r="F1" s="19"/>
    </row>
    <row r="2" customFormat="false" ht="37.5" hidden="false" customHeight="true" outlineLevel="0" collapsed="false">
      <c r="A2" s="2" t="s">
        <v>395</v>
      </c>
      <c r="B2" s="2" t="s">
        <v>1</v>
      </c>
      <c r="C2" s="2" t="s">
        <v>2</v>
      </c>
      <c r="D2" s="2" t="s">
        <v>7</v>
      </c>
      <c r="E2" s="2" t="s">
        <v>6</v>
      </c>
      <c r="F2" s="2" t="s">
        <v>396</v>
      </c>
    </row>
    <row r="3" customFormat="false" ht="30" hidden="false" customHeight="true" outlineLevel="0" collapsed="false">
      <c r="A3" s="16"/>
      <c r="B3" s="13"/>
      <c r="C3" s="15"/>
      <c r="D3" s="15"/>
      <c r="E3" s="15"/>
      <c r="F3" s="13"/>
    </row>
    <row r="4" customFormat="false" ht="30" hidden="false" customHeight="true" outlineLevel="0" collapsed="false">
      <c r="A4" s="10"/>
      <c r="B4" s="6"/>
      <c r="C4" s="9"/>
      <c r="D4" s="9"/>
      <c r="E4" s="9"/>
      <c r="F4" s="6"/>
    </row>
    <row r="5" customFormat="false" ht="30" hidden="false" customHeight="true" outlineLevel="0" collapsed="false">
      <c r="A5" s="16"/>
      <c r="B5" s="13"/>
      <c r="C5" s="15"/>
      <c r="D5" s="15"/>
      <c r="E5" s="15"/>
      <c r="F5" s="13"/>
    </row>
    <row r="6" customFormat="false" ht="30" hidden="false" customHeight="true" outlineLevel="0" collapsed="false">
      <c r="A6" s="10"/>
      <c r="B6" s="6"/>
      <c r="C6" s="9"/>
      <c r="D6" s="9"/>
      <c r="E6" s="9"/>
      <c r="F6" s="6"/>
    </row>
    <row r="7" customFormat="false" ht="30" hidden="false" customHeight="true" outlineLevel="0" collapsed="false">
      <c r="A7" s="16"/>
      <c r="B7" s="13"/>
      <c r="C7" s="15"/>
      <c r="D7" s="15"/>
      <c r="E7" s="15"/>
      <c r="F7" s="13"/>
    </row>
    <row r="8" customFormat="false" ht="30" hidden="false" customHeight="true" outlineLevel="0" collapsed="false">
      <c r="A8" s="10"/>
      <c r="B8" s="6"/>
      <c r="C8" s="9"/>
      <c r="D8" s="9"/>
      <c r="E8" s="9"/>
      <c r="F8" s="6"/>
    </row>
    <row r="9" customFormat="false" ht="30" hidden="false" customHeight="true" outlineLevel="0" collapsed="false">
      <c r="A9" s="16"/>
      <c r="B9" s="13"/>
      <c r="C9" s="15"/>
      <c r="D9" s="15"/>
      <c r="E9" s="15"/>
      <c r="F9" s="13"/>
    </row>
    <row r="10" customFormat="false" ht="30" hidden="false" customHeight="true" outlineLevel="0" collapsed="false">
      <c r="A10" s="10"/>
      <c r="B10" s="6"/>
      <c r="C10" s="9"/>
      <c r="D10" s="9"/>
      <c r="E10" s="9"/>
      <c r="F10" s="6"/>
    </row>
    <row r="11" customFormat="false" ht="30" hidden="false" customHeight="true" outlineLevel="0" collapsed="false">
      <c r="A11" s="16"/>
      <c r="B11" s="13"/>
      <c r="C11" s="15"/>
      <c r="D11" s="15"/>
      <c r="E11" s="15"/>
      <c r="F11" s="13"/>
    </row>
    <row r="12" customFormat="false" ht="30" hidden="false" customHeight="true" outlineLevel="0" collapsed="false">
      <c r="A12" s="10"/>
      <c r="B12" s="6"/>
      <c r="C12" s="9"/>
      <c r="D12" s="9"/>
      <c r="E12" s="9"/>
      <c r="F12" s="6"/>
    </row>
    <row r="13" customFormat="false" ht="30" hidden="false" customHeight="true" outlineLevel="0" collapsed="false">
      <c r="A13" s="16"/>
      <c r="B13" s="13"/>
      <c r="C13" s="15"/>
      <c r="D13" s="15"/>
      <c r="E13" s="15"/>
      <c r="F13" s="13"/>
    </row>
    <row r="14" customFormat="false" ht="30" hidden="false" customHeight="true" outlineLevel="0" collapsed="false">
      <c r="A14" s="10"/>
      <c r="B14" s="6"/>
      <c r="C14" s="9"/>
      <c r="D14" s="9"/>
      <c r="E14" s="9"/>
      <c r="F14" s="6"/>
    </row>
    <row r="15" customFormat="false" ht="30" hidden="false" customHeight="true" outlineLevel="0" collapsed="false">
      <c r="A15" s="16"/>
      <c r="B15" s="13"/>
      <c r="C15" s="15"/>
      <c r="D15" s="15"/>
      <c r="E15" s="15"/>
      <c r="F15" s="13"/>
    </row>
    <row r="16" customFormat="false" ht="30" hidden="false" customHeight="true" outlineLevel="0" collapsed="false">
      <c r="A16" s="10"/>
      <c r="B16" s="6"/>
      <c r="C16" s="9"/>
      <c r="D16" s="9"/>
      <c r="E16" s="9"/>
      <c r="F16" s="6"/>
    </row>
    <row r="17" customFormat="false" ht="30" hidden="false" customHeight="true" outlineLevel="0" collapsed="false">
      <c r="A17" s="16"/>
      <c r="B17" s="13"/>
      <c r="C17" s="15"/>
      <c r="D17" s="15"/>
      <c r="E17" s="15"/>
      <c r="F17" s="13"/>
    </row>
    <row r="18" customFormat="false" ht="30" hidden="false" customHeight="true" outlineLevel="0" collapsed="false">
      <c r="A18" s="10"/>
      <c r="B18" s="6"/>
      <c r="C18" s="9"/>
      <c r="D18" s="9"/>
      <c r="E18" s="9"/>
      <c r="F18" s="6"/>
    </row>
    <row r="19" customFormat="false" ht="30" hidden="false" customHeight="true" outlineLevel="0" collapsed="false">
      <c r="A19" s="16"/>
      <c r="B19" s="13"/>
      <c r="C19" s="15"/>
      <c r="D19" s="15"/>
      <c r="E19" s="15"/>
      <c r="F19" s="13"/>
    </row>
    <row r="20" customFormat="false" ht="30" hidden="false" customHeight="true" outlineLevel="0" collapsed="false">
      <c r="A20" s="10"/>
      <c r="B20" s="6"/>
      <c r="C20" s="9"/>
      <c r="D20" s="9"/>
      <c r="E20" s="9"/>
      <c r="F20" s="6"/>
    </row>
    <row r="21" customFormat="false" ht="30" hidden="false" customHeight="true" outlineLevel="0" collapsed="false">
      <c r="A21" s="16"/>
      <c r="B21" s="13"/>
      <c r="C21" s="15"/>
      <c r="D21" s="15"/>
      <c r="E21" s="15"/>
      <c r="F21" s="13"/>
    </row>
    <row r="22" customFormat="false" ht="30" hidden="false" customHeight="true" outlineLevel="0" collapsed="false">
      <c r="A22" s="10"/>
      <c r="B22" s="6"/>
      <c r="C22" s="9"/>
      <c r="D22" s="9"/>
      <c r="E22" s="9"/>
      <c r="F22" s="6"/>
    </row>
    <row r="23" customFormat="false" ht="30" hidden="false" customHeight="true" outlineLevel="0" collapsed="false">
      <c r="A23" s="16"/>
      <c r="B23" s="13"/>
      <c r="C23" s="15"/>
      <c r="D23" s="15"/>
      <c r="E23" s="15"/>
      <c r="F23" s="13"/>
    </row>
    <row r="24" customFormat="false" ht="30" hidden="false" customHeight="true" outlineLevel="0" collapsed="false">
      <c r="A24" s="10"/>
      <c r="B24" s="6"/>
      <c r="C24" s="9"/>
      <c r="D24" s="9"/>
      <c r="E24" s="9"/>
      <c r="F24" s="6"/>
    </row>
    <row r="25" customFormat="false" ht="30" hidden="false" customHeight="true" outlineLevel="0" collapsed="false">
      <c r="A25" s="16"/>
      <c r="B25" s="13"/>
      <c r="C25" s="15"/>
      <c r="D25" s="15"/>
      <c r="E25" s="15"/>
      <c r="F25" s="13"/>
    </row>
    <row r="26" customFormat="false" ht="30" hidden="false" customHeight="true" outlineLevel="0" collapsed="false">
      <c r="A26" s="10"/>
      <c r="B26" s="6"/>
      <c r="C26" s="9"/>
      <c r="D26" s="9"/>
      <c r="E26" s="9"/>
      <c r="F26" s="6"/>
    </row>
    <row r="27" customFormat="false" ht="30" hidden="false" customHeight="true" outlineLevel="0" collapsed="false">
      <c r="A27" s="16"/>
      <c r="B27" s="13"/>
      <c r="C27" s="15"/>
      <c r="D27" s="15"/>
      <c r="E27" s="15"/>
      <c r="F27" s="13"/>
    </row>
    <row r="28" customFormat="false" ht="30" hidden="false" customHeight="true" outlineLevel="0" collapsed="false">
      <c r="A28" s="10"/>
      <c r="B28" s="6"/>
      <c r="C28" s="9"/>
      <c r="D28" s="9"/>
      <c r="E28" s="9"/>
      <c r="F28" s="6"/>
    </row>
    <row r="29" customFormat="false" ht="30" hidden="false" customHeight="true" outlineLevel="0" collapsed="false">
      <c r="A29" s="16"/>
      <c r="B29" s="13"/>
      <c r="C29" s="15"/>
      <c r="D29" s="15"/>
      <c r="E29" s="15"/>
      <c r="F29" s="13"/>
    </row>
    <row r="30" customFormat="false" ht="30" hidden="false" customHeight="true" outlineLevel="0" collapsed="false">
      <c r="A30" s="10"/>
      <c r="B30" s="6"/>
      <c r="C30" s="9"/>
      <c r="D30" s="9"/>
      <c r="E30" s="9"/>
      <c r="F30" s="6"/>
    </row>
    <row r="31" customFormat="false" ht="30" hidden="false" customHeight="true" outlineLevel="0" collapsed="false">
      <c r="A31" s="16"/>
      <c r="B31" s="13"/>
      <c r="C31" s="15"/>
      <c r="D31" s="15"/>
      <c r="E31" s="15"/>
      <c r="F31" s="13"/>
    </row>
    <row r="32" customFormat="false" ht="30" hidden="false" customHeight="true" outlineLevel="0" collapsed="false">
      <c r="A32" s="10"/>
      <c r="B32" s="6"/>
      <c r="C32" s="9"/>
      <c r="D32" s="9"/>
      <c r="E32" s="9"/>
      <c r="F32" s="6"/>
    </row>
    <row r="33" customFormat="false" ht="30" hidden="false" customHeight="true" outlineLevel="0" collapsed="false">
      <c r="A33" s="16"/>
      <c r="B33" s="13"/>
      <c r="C33" s="15"/>
      <c r="D33" s="15"/>
      <c r="E33" s="15"/>
      <c r="F33" s="13"/>
    </row>
    <row r="34" customFormat="false" ht="30" hidden="false" customHeight="true" outlineLevel="0" collapsed="false">
      <c r="A34" s="10"/>
      <c r="B34" s="6"/>
      <c r="C34" s="9"/>
      <c r="D34" s="9"/>
      <c r="E34" s="9"/>
      <c r="F34" s="6"/>
    </row>
    <row r="35" customFormat="false" ht="30" hidden="false" customHeight="true" outlineLevel="0" collapsed="false">
      <c r="A35" s="16"/>
      <c r="B35" s="13"/>
      <c r="C35" s="15"/>
      <c r="D35" s="15"/>
      <c r="E35" s="15"/>
      <c r="F35" s="13"/>
    </row>
    <row r="36" customFormat="false" ht="30" hidden="false" customHeight="true" outlineLevel="0" collapsed="false">
      <c r="A36" s="10"/>
      <c r="B36" s="6"/>
      <c r="C36" s="9"/>
      <c r="D36" s="9"/>
      <c r="E36" s="9"/>
      <c r="F36" s="6"/>
    </row>
    <row r="37" customFormat="false" ht="30" hidden="false" customHeight="true" outlineLevel="0" collapsed="false">
      <c r="A37" s="16"/>
      <c r="B37" s="13"/>
      <c r="C37" s="15"/>
      <c r="D37" s="15"/>
      <c r="E37" s="15"/>
      <c r="F37" s="13"/>
    </row>
    <row r="38" customFormat="false" ht="30" hidden="false" customHeight="true" outlineLevel="0" collapsed="false">
      <c r="A38" s="10"/>
      <c r="B38" s="6"/>
      <c r="C38" s="9"/>
      <c r="D38" s="9"/>
      <c r="E38" s="9"/>
      <c r="F38" s="6"/>
    </row>
    <row r="39" customFormat="false" ht="30" hidden="false" customHeight="true" outlineLevel="0" collapsed="false">
      <c r="A39" s="16"/>
      <c r="B39" s="13"/>
      <c r="C39" s="15"/>
      <c r="D39" s="15"/>
      <c r="E39" s="15"/>
      <c r="F39" s="13"/>
    </row>
    <row r="40" customFormat="false" ht="30" hidden="false" customHeight="true" outlineLevel="0" collapsed="false">
      <c r="A40" s="10"/>
      <c r="B40" s="6"/>
      <c r="C40" s="9"/>
      <c r="D40" s="9"/>
      <c r="E40" s="9"/>
      <c r="F40" s="6"/>
    </row>
    <row r="41" customFormat="false" ht="30" hidden="false" customHeight="true" outlineLevel="0" collapsed="false">
      <c r="A41" s="16"/>
      <c r="B41" s="13"/>
      <c r="C41" s="15"/>
      <c r="D41" s="15"/>
      <c r="E41" s="15"/>
      <c r="F41" s="13"/>
    </row>
    <row r="42" customFormat="false" ht="30" hidden="false" customHeight="true" outlineLevel="0" collapsed="false">
      <c r="A42" s="10"/>
      <c r="B42" s="6"/>
      <c r="C42" s="9"/>
      <c r="D42" s="9"/>
      <c r="E42" s="9"/>
      <c r="F42" s="6"/>
    </row>
    <row r="43" customFormat="false" ht="30" hidden="false" customHeight="true" outlineLevel="0" collapsed="false">
      <c r="A43" s="16"/>
      <c r="B43" s="13"/>
      <c r="C43" s="15"/>
      <c r="D43" s="15"/>
      <c r="E43" s="15"/>
      <c r="F43" s="13"/>
    </row>
    <row r="44" customFormat="false" ht="30" hidden="false" customHeight="true" outlineLevel="0" collapsed="false">
      <c r="A44" s="10"/>
      <c r="B44" s="6"/>
      <c r="C44" s="9"/>
      <c r="D44" s="9"/>
      <c r="E44" s="9"/>
      <c r="F44" s="6"/>
    </row>
    <row r="45" customFormat="false" ht="30" hidden="false" customHeight="true" outlineLevel="0" collapsed="false">
      <c r="A45" s="16"/>
      <c r="B45" s="13"/>
      <c r="C45" s="15"/>
      <c r="D45" s="15"/>
      <c r="E45" s="15"/>
      <c r="F45" s="13"/>
    </row>
    <row r="46" customFormat="false" ht="30" hidden="false" customHeight="true" outlineLevel="0" collapsed="false">
      <c r="A46" s="10"/>
      <c r="B46" s="6"/>
      <c r="C46" s="9"/>
      <c r="D46" s="9"/>
      <c r="E46" s="9"/>
      <c r="F46" s="6"/>
    </row>
    <row r="47" customFormat="false" ht="30" hidden="false" customHeight="true" outlineLevel="0" collapsed="false">
      <c r="A47" s="16"/>
      <c r="B47" s="13"/>
      <c r="C47" s="15"/>
      <c r="D47" s="15"/>
      <c r="E47" s="15"/>
      <c r="F47" s="13"/>
    </row>
    <row r="48" customFormat="false" ht="30" hidden="false" customHeight="true" outlineLevel="0" collapsed="false">
      <c r="A48" s="10"/>
      <c r="B48" s="6"/>
      <c r="C48" s="9"/>
      <c r="D48" s="9"/>
      <c r="E48" s="9"/>
      <c r="F48" s="6"/>
    </row>
    <row r="49" customFormat="false" ht="30" hidden="false" customHeight="true" outlineLevel="0" collapsed="false">
      <c r="A49" s="16"/>
      <c r="B49" s="13"/>
      <c r="C49" s="15"/>
      <c r="D49" s="15"/>
      <c r="E49" s="15"/>
      <c r="F49" s="13"/>
    </row>
    <row r="50" customFormat="false" ht="30" hidden="false" customHeight="true" outlineLevel="0" collapsed="false">
      <c r="A50" s="10"/>
      <c r="B50" s="6"/>
      <c r="C50" s="9"/>
      <c r="D50" s="9"/>
      <c r="E50" s="9"/>
      <c r="F50" s="6"/>
    </row>
    <row r="51" customFormat="false" ht="30" hidden="false" customHeight="true" outlineLevel="0" collapsed="false">
      <c r="A51" s="16"/>
      <c r="B51" s="13"/>
      <c r="C51" s="15"/>
      <c r="D51" s="15"/>
      <c r="E51" s="15"/>
      <c r="F51" s="13"/>
    </row>
    <row r="52" customFormat="false" ht="30" hidden="false" customHeight="true" outlineLevel="0" collapsed="false">
      <c r="A52" s="10"/>
      <c r="B52" s="6"/>
      <c r="C52" s="9"/>
      <c r="D52" s="9"/>
      <c r="E52" s="9"/>
      <c r="F52" s="6"/>
    </row>
    <row r="53" customFormat="false" ht="30" hidden="false" customHeight="true" outlineLevel="0" collapsed="false">
      <c r="A53" s="16"/>
      <c r="B53" s="13"/>
      <c r="C53" s="15"/>
      <c r="D53" s="15"/>
      <c r="E53" s="15"/>
      <c r="F53" s="13"/>
    </row>
    <row r="54" customFormat="false" ht="30" hidden="false" customHeight="true" outlineLevel="0" collapsed="false">
      <c r="A54" s="10"/>
      <c r="B54" s="6"/>
      <c r="C54" s="9"/>
      <c r="D54" s="9"/>
      <c r="E54" s="9"/>
      <c r="F54" s="6"/>
    </row>
    <row r="55" customFormat="false" ht="30" hidden="false" customHeight="true" outlineLevel="0" collapsed="false">
      <c r="A55" s="16"/>
      <c r="B55" s="13"/>
      <c r="C55" s="15"/>
      <c r="D55" s="15"/>
      <c r="E55" s="15"/>
      <c r="F55" s="13"/>
    </row>
    <row r="56" customFormat="false" ht="30" hidden="false" customHeight="true" outlineLevel="0" collapsed="false">
      <c r="A56" s="10"/>
      <c r="B56" s="6"/>
      <c r="C56" s="9"/>
      <c r="D56" s="9"/>
      <c r="E56" s="9"/>
      <c r="F56" s="6"/>
    </row>
    <row r="57" customFormat="false" ht="30" hidden="false" customHeight="true" outlineLevel="0" collapsed="false">
      <c r="A57" s="16"/>
      <c r="B57" s="13"/>
      <c r="C57" s="15"/>
      <c r="D57" s="15"/>
      <c r="E57" s="15"/>
      <c r="F57" s="13"/>
    </row>
    <row r="58" customFormat="false" ht="30" hidden="false" customHeight="true" outlineLevel="0" collapsed="false">
      <c r="A58" s="10"/>
      <c r="B58" s="6"/>
      <c r="C58" s="9"/>
      <c r="D58" s="9"/>
      <c r="E58" s="9"/>
      <c r="F58" s="6"/>
    </row>
    <row r="59" customFormat="false" ht="30" hidden="false" customHeight="true" outlineLevel="0" collapsed="false">
      <c r="A59" s="16"/>
      <c r="B59" s="13"/>
      <c r="C59" s="15"/>
      <c r="D59" s="15"/>
      <c r="E59" s="15"/>
      <c r="F59" s="13"/>
    </row>
    <row r="60" customFormat="false" ht="30" hidden="false" customHeight="true" outlineLevel="0" collapsed="false">
      <c r="A60" s="10"/>
      <c r="B60" s="6"/>
      <c r="C60" s="9"/>
      <c r="D60" s="9"/>
      <c r="E60" s="9"/>
      <c r="F60" s="6"/>
    </row>
    <row r="61" customFormat="false" ht="30" hidden="false" customHeight="true" outlineLevel="0" collapsed="false">
      <c r="A61" s="16"/>
      <c r="B61" s="13"/>
      <c r="C61" s="15"/>
      <c r="D61" s="15"/>
      <c r="E61" s="15"/>
      <c r="F61" s="13"/>
    </row>
    <row r="62" customFormat="false" ht="30" hidden="false" customHeight="true" outlineLevel="0" collapsed="false">
      <c r="A62" s="10"/>
      <c r="B62" s="6"/>
      <c r="C62" s="9"/>
      <c r="D62" s="9"/>
      <c r="E62" s="9"/>
      <c r="F62" s="6"/>
    </row>
    <row r="63" customFormat="false" ht="30" hidden="false" customHeight="true" outlineLevel="0" collapsed="false">
      <c r="A63" s="16"/>
      <c r="B63" s="13"/>
      <c r="C63" s="15"/>
      <c r="D63" s="15"/>
      <c r="E63" s="15"/>
      <c r="F63" s="13"/>
    </row>
    <row r="64" customFormat="false" ht="30" hidden="false" customHeight="true" outlineLevel="0" collapsed="false">
      <c r="A64" s="10"/>
      <c r="B64" s="6"/>
      <c r="C64" s="9"/>
      <c r="D64" s="9"/>
      <c r="E64" s="9"/>
      <c r="F64" s="6"/>
    </row>
    <row r="65" customFormat="false" ht="30" hidden="false" customHeight="true" outlineLevel="0" collapsed="false">
      <c r="A65" s="16"/>
      <c r="B65" s="13"/>
      <c r="C65" s="15"/>
      <c r="D65" s="15"/>
      <c r="E65" s="15"/>
      <c r="F65" s="13"/>
    </row>
    <row r="66" customFormat="false" ht="30" hidden="false" customHeight="true" outlineLevel="0" collapsed="false">
      <c r="A66" s="10"/>
      <c r="B66" s="6"/>
      <c r="C66" s="9"/>
      <c r="D66" s="9"/>
      <c r="E66" s="9"/>
      <c r="F66" s="6"/>
    </row>
    <row r="67" customFormat="false" ht="30" hidden="false" customHeight="true" outlineLevel="0" collapsed="false">
      <c r="A67" s="16"/>
      <c r="B67" s="13"/>
      <c r="C67" s="15"/>
      <c r="D67" s="15"/>
      <c r="E67" s="15"/>
      <c r="F67" s="13"/>
    </row>
    <row r="68" customFormat="false" ht="30" hidden="false" customHeight="true" outlineLevel="0" collapsed="false">
      <c r="A68" s="10"/>
      <c r="B68" s="6"/>
      <c r="C68" s="9"/>
      <c r="D68" s="9"/>
      <c r="E68" s="9"/>
      <c r="F68" s="6"/>
    </row>
    <row r="69" customFormat="false" ht="30" hidden="false" customHeight="true" outlineLevel="0" collapsed="false">
      <c r="A69" s="16"/>
      <c r="B69" s="13"/>
      <c r="C69" s="15"/>
      <c r="D69" s="15"/>
      <c r="E69" s="15"/>
      <c r="F69" s="13"/>
    </row>
    <row r="70" customFormat="false" ht="30" hidden="false" customHeight="true" outlineLevel="0" collapsed="false">
      <c r="A70" s="10"/>
      <c r="B70" s="6"/>
      <c r="C70" s="9"/>
      <c r="D70" s="9"/>
      <c r="E70" s="9"/>
      <c r="F70" s="6"/>
    </row>
    <row r="71" customFormat="false" ht="30" hidden="false" customHeight="true" outlineLevel="0" collapsed="false">
      <c r="A71" s="16"/>
      <c r="B71" s="13"/>
      <c r="C71" s="15"/>
      <c r="D71" s="15"/>
      <c r="E71" s="15"/>
      <c r="F71" s="13"/>
    </row>
    <row r="72" customFormat="false" ht="30" hidden="false" customHeight="true" outlineLevel="0" collapsed="false">
      <c r="A72" s="10"/>
      <c r="B72" s="6"/>
      <c r="C72" s="9"/>
      <c r="D72" s="9"/>
      <c r="E72" s="9"/>
      <c r="F72" s="6"/>
    </row>
    <row r="73" customFormat="false" ht="30" hidden="false" customHeight="true" outlineLevel="0" collapsed="false">
      <c r="A73" s="16"/>
      <c r="B73" s="13"/>
      <c r="C73" s="15"/>
      <c r="D73" s="15"/>
      <c r="E73" s="15"/>
      <c r="F73" s="13"/>
    </row>
    <row r="74" customFormat="false" ht="30" hidden="false" customHeight="true" outlineLevel="0" collapsed="false">
      <c r="A74" s="10"/>
      <c r="B74" s="6"/>
      <c r="C74" s="9"/>
      <c r="D74" s="9"/>
      <c r="E74" s="9"/>
      <c r="F74" s="6"/>
    </row>
    <row r="75" customFormat="false" ht="30" hidden="false" customHeight="true" outlineLevel="0" collapsed="false">
      <c r="A75" s="16"/>
      <c r="B75" s="13"/>
      <c r="C75" s="15"/>
      <c r="D75" s="15"/>
      <c r="E75" s="15"/>
      <c r="F75" s="13"/>
    </row>
    <row r="76" customFormat="false" ht="30" hidden="false" customHeight="true" outlineLevel="0" collapsed="false">
      <c r="A76" s="10"/>
      <c r="B76" s="6"/>
      <c r="C76" s="9"/>
      <c r="D76" s="9"/>
      <c r="E76" s="9"/>
      <c r="F76" s="6"/>
    </row>
    <row r="77" customFormat="false" ht="30" hidden="false" customHeight="true" outlineLevel="0" collapsed="false">
      <c r="A77" s="16"/>
      <c r="B77" s="13"/>
      <c r="C77" s="15"/>
      <c r="D77" s="15"/>
      <c r="E77" s="15"/>
      <c r="F77" s="13"/>
    </row>
    <row r="78" customFormat="false" ht="30" hidden="false" customHeight="true" outlineLevel="0" collapsed="false">
      <c r="A78" s="10"/>
      <c r="B78" s="6"/>
      <c r="C78" s="9"/>
      <c r="D78" s="9"/>
      <c r="E78" s="9"/>
      <c r="F78" s="6"/>
    </row>
    <row r="79" customFormat="false" ht="30" hidden="false" customHeight="true" outlineLevel="0" collapsed="false">
      <c r="A79" s="16"/>
      <c r="B79" s="13"/>
      <c r="C79" s="15"/>
      <c r="D79" s="15"/>
      <c r="E79" s="15"/>
      <c r="F79" s="13"/>
    </row>
    <row r="80" customFormat="false" ht="30" hidden="false" customHeight="true" outlineLevel="0" collapsed="false">
      <c r="A80" s="10"/>
      <c r="B80" s="6"/>
      <c r="C80" s="9"/>
      <c r="D80" s="9"/>
      <c r="E80" s="9"/>
      <c r="F80" s="6"/>
    </row>
    <row r="81" customFormat="false" ht="30" hidden="false" customHeight="true" outlineLevel="0" collapsed="false">
      <c r="A81" s="16"/>
      <c r="B81" s="13"/>
      <c r="C81" s="15"/>
      <c r="D81" s="15"/>
      <c r="E81" s="15"/>
      <c r="F81" s="13"/>
    </row>
    <row r="82" customFormat="false" ht="30" hidden="false" customHeight="true" outlineLevel="0" collapsed="false">
      <c r="A82" s="10"/>
      <c r="B82" s="6"/>
      <c r="C82" s="9"/>
      <c r="D82" s="9"/>
      <c r="E82" s="9"/>
      <c r="F82" s="6"/>
    </row>
  </sheetData>
  <mergeCells count="1">
    <mergeCell ref="A1:F1"/>
  </mergeCells>
  <conditionalFormatting sqref="E3:E82">
    <cfRule type="expression" priority="2" aboveAverage="0" equalAverage="0" bottom="0" percent="0" rank="0" text="" dxfId="0">
      <formula>$E3="Resolved"</formula>
    </cfRule>
    <cfRule type="expression" priority="3" aboveAverage="0" equalAverage="0" bottom="0" percent="0" rank="0" text="" dxfId="1">
      <formula>$E3="In Progress"</formula>
    </cfRule>
    <cfRule type="expression" priority="4" aboveAverage="0" equalAverage="0" bottom="0" percent="0" rank="0" text="" dxfId="2">
      <formula>$E3="Not Started"</formula>
    </cfRule>
    <cfRule type="expression" priority="5" aboveAverage="0" equalAverage="0" bottom="0" percent="0" rank="0" text="" dxfId="3">
      <formula>$E3="Blocked"</formula>
    </cfRule>
    <cfRule type="expression" priority="6" aboveAverage="0" equalAverage="0" bottom="0" percent="0" rank="0" text="" dxfId="4">
      <formula>$E3="Skipped"</formula>
    </cfRule>
  </conditionalFormatting>
  <dataValidations count="1">
    <dataValidation allowBlank="true" errorStyle="stop" operator="between" showDropDown="false" showErrorMessage="false" showInputMessage="false" sqref="E3:E82" type="list">
      <formula1>"Not Started,In Progress,Resolved,Blocked,Skipped"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2026-05-19T11:36:29Z</dcterms:created>
  <dc:creator>openpyxl</dc:creator>
  <dc:description/>
  <dc:language>en-US</dc:language>
  <cp:lastModifiedBy/>
  <dcterms:modified xsi:type="dcterms:W3CDTF">2026-05-19T11:36:30Z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